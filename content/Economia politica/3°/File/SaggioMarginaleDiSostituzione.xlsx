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AppuntiScuola\content\Economia politica\3°\File\"/>
    </mc:Choice>
  </mc:AlternateContent>
  <xr:revisionPtr revIDLastSave="0" documentId="13_ncr:1_{5758589A-F614-4497-A903-9B869D5392C2}" xr6:coauthVersionLast="47" xr6:coauthVersionMax="47" xr10:uidLastSave="{00000000-0000-0000-0000-000000000000}"/>
  <bookViews>
    <workbookView xWindow="-120" yWindow="-120" windowWidth="29040" windowHeight="15720" xr2:uid="{6A4CFDC2-E119-4457-B5F6-44896FCEDC5E}"/>
  </bookViews>
  <sheets>
    <sheet name="Costi" sheetId="3" r:id="rId1"/>
    <sheet name="Utilità" sheetId="2" r:id="rId2"/>
    <sheet name="Saggio marginale di sostiuzion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E14" i="1"/>
  <c r="C3" i="3"/>
  <c r="E3" i="3" s="1"/>
  <c r="C5" i="3"/>
  <c r="E5" i="3" s="1"/>
  <c r="F5" i="3" s="1"/>
  <c r="C6" i="3"/>
  <c r="E6" i="3" s="1"/>
  <c r="F6" i="3" s="1"/>
  <c r="C7" i="3"/>
  <c r="E7" i="3" s="1"/>
  <c r="F7" i="3" s="1"/>
  <c r="C8" i="3"/>
  <c r="E8" i="3" s="1"/>
  <c r="F8" i="3" s="1"/>
  <c r="C9" i="3"/>
  <c r="E9" i="3" s="1"/>
  <c r="F9" i="3" s="1"/>
  <c r="C10" i="3"/>
  <c r="E10" i="3" s="1"/>
  <c r="F10" i="3" s="1"/>
  <c r="C11" i="3"/>
  <c r="E11" i="3" s="1"/>
  <c r="F11" i="3" s="1"/>
  <c r="C4" i="3"/>
  <c r="E4" i="3" s="1"/>
  <c r="C11" i="1"/>
  <c r="D13" i="1"/>
  <c r="D14" i="1"/>
  <c r="D15" i="1"/>
  <c r="D16" i="1"/>
  <c r="C18" i="1"/>
  <c r="E18" i="1" s="1"/>
  <c r="C19" i="1"/>
  <c r="E19" i="1" s="1"/>
  <c r="C20" i="1"/>
  <c r="C21" i="1"/>
  <c r="D17" i="1"/>
  <c r="D18" i="1"/>
  <c r="D19" i="1"/>
  <c r="D20" i="1"/>
  <c r="C14" i="1"/>
  <c r="C15" i="1"/>
  <c r="C16" i="1"/>
  <c r="C17" i="1"/>
  <c r="C13" i="1"/>
  <c r="K17" i="1"/>
  <c r="H17" i="1"/>
  <c r="K16" i="1"/>
  <c r="H16" i="1"/>
  <c r="K15" i="1"/>
  <c r="H15" i="1"/>
  <c r="K14" i="1"/>
  <c r="H14" i="1"/>
  <c r="H4" i="2"/>
  <c r="H12" i="2"/>
  <c r="H11" i="2"/>
  <c r="H10" i="2"/>
  <c r="H9" i="2"/>
  <c r="H8" i="2"/>
  <c r="H7" i="2"/>
  <c r="H6" i="2"/>
  <c r="H5" i="2"/>
  <c r="D11" i="2"/>
  <c r="D5" i="2"/>
  <c r="D12" i="2"/>
  <c r="D10" i="2"/>
  <c r="D9" i="2"/>
  <c r="D8" i="2"/>
  <c r="D7" i="2"/>
  <c r="D6" i="2"/>
  <c r="D4" i="2"/>
  <c r="K6" i="1"/>
  <c r="K7" i="1"/>
  <c r="K8" i="1"/>
  <c r="K9" i="1"/>
  <c r="H7" i="1"/>
  <c r="H8" i="1"/>
  <c r="H9" i="1"/>
  <c r="H6" i="1"/>
  <c r="E7" i="1"/>
  <c r="E8" i="1"/>
  <c r="E9" i="1"/>
  <c r="E6" i="1"/>
  <c r="G4" i="3" l="1"/>
  <c r="F4" i="3"/>
  <c r="G7" i="3"/>
  <c r="H7" i="3" s="1"/>
  <c r="G11" i="3"/>
  <c r="H11" i="3" s="1"/>
  <c r="G10" i="3"/>
  <c r="H10" i="3" s="1"/>
  <c r="G9" i="3"/>
  <c r="H9" i="3" s="1"/>
  <c r="G8" i="3"/>
  <c r="H8" i="3" s="1"/>
  <c r="G6" i="3"/>
  <c r="H6" i="3" s="1"/>
  <c r="G5" i="3"/>
  <c r="H5" i="3" s="1"/>
  <c r="E15" i="1"/>
  <c r="E20" i="1"/>
  <c r="E17" i="1"/>
  <c r="E16" i="1"/>
  <c r="E21" i="1"/>
  <c r="H4" i="3" l="1"/>
  <c r="C14" i="3" s="1"/>
  <c r="I4" i="3" s="1"/>
  <c r="I5" i="3" l="1"/>
  <c r="C15" i="3"/>
  <c r="I6" i="3"/>
  <c r="C17" i="3" s="1"/>
  <c r="I7" i="3"/>
  <c r="I8" i="3"/>
  <c r="I9" i="3"/>
  <c r="I10" i="3"/>
  <c r="I11" i="3"/>
</calcChain>
</file>

<file path=xl/sharedStrings.xml><?xml version="1.0" encoding="utf-8"?>
<sst xmlns="http://schemas.openxmlformats.org/spreadsheetml/2006/main" count="54" uniqueCount="24">
  <si>
    <t>A</t>
  </si>
  <si>
    <t>B</t>
  </si>
  <si>
    <t>C</t>
  </si>
  <si>
    <t>Specializzato</t>
  </si>
  <si>
    <t>Non specializzato</t>
  </si>
  <si>
    <t>Saggio marginale di sostizione</t>
  </si>
  <si>
    <t>-</t>
  </si>
  <si>
    <t>Utilità Marginale</t>
  </si>
  <si>
    <t>Utilità totale</t>
  </si>
  <si>
    <t>Quantita</t>
  </si>
  <si>
    <t>D</t>
  </si>
  <si>
    <t>E</t>
  </si>
  <si>
    <t>Quantità</t>
  </si>
  <si>
    <t>Costi marginali</t>
  </si>
  <si>
    <t>Costi medi</t>
  </si>
  <si>
    <t>Costi fissi</t>
  </si>
  <si>
    <t>Costi variabili</t>
  </si>
  <si>
    <t xml:space="preserve">Costi totali </t>
  </si>
  <si>
    <t>Prezzo di mercato</t>
  </si>
  <si>
    <t>Punto di fuga</t>
  </si>
  <si>
    <t>Ottimo tecnico</t>
  </si>
  <si>
    <t>Ottimo economico</t>
  </si>
  <si>
    <t>Colonna punto di fuga</t>
  </si>
  <si>
    <t>Collona ottimo economico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</si>
</sst>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auto="1"/>
      </left>
      <right style="thin">
        <color indexed="64"/>
      </right>
      <top style="thick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ck">
        <color auto="1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6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41" xfId="0" applyBorder="1" applyAlignment="1">
      <alignment horizontal="right"/>
    </xf>
    <xf numFmtId="0" fontId="0" fillId="0" borderId="42" xfId="0" applyBorder="1"/>
    <xf numFmtId="0" fontId="0" fillId="0" borderId="43" xfId="0" applyBorder="1"/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" fillId="6" borderId="33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3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0" borderId="48" xfId="0" applyBorder="1" applyAlignment="1">
      <alignment horizontal="right"/>
    </xf>
    <xf numFmtId="0" fontId="0" fillId="0" borderId="49" xfId="0" applyBorder="1" applyAlignment="1">
      <alignment horizontal="right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1" fillId="0" borderId="2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54" xfId="0" applyBorder="1" applyAlignment="1">
      <alignment horizontal="right"/>
    </xf>
    <xf numFmtId="0" fontId="0" fillId="0" borderId="52" xfId="0" applyBorder="1" applyAlignment="1">
      <alignment horizontal="right"/>
    </xf>
    <xf numFmtId="0" fontId="0" fillId="0" borderId="53" xfId="0" applyBorder="1" applyAlignment="1">
      <alignment horizontal="right"/>
    </xf>
    <xf numFmtId="165" fontId="0" fillId="0" borderId="53" xfId="0" applyNumberFormat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 costi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004629629629633"/>
          <c:w val="0.88386351706036748"/>
          <c:h val="0.6566509915427238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Costi!$C$2</c:f>
              <c:strCache>
                <c:ptCount val="1"/>
                <c:pt idx="0">
                  <c:v>Costi fissi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Costi!$B$3:$B$11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Costi!$C$3:$C$11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0F-4325-BDF4-8C298A8C3F32}"/>
            </c:ext>
          </c:extLst>
        </c:ser>
        <c:ser>
          <c:idx val="1"/>
          <c:order val="1"/>
          <c:tx>
            <c:strRef>
              <c:f>Costi!$D$2</c:f>
              <c:strCache>
                <c:ptCount val="1"/>
                <c:pt idx="0">
                  <c:v>Costi variabili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Costi!$B$3:$B$11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Costi!$D$3:$D$11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37.5</c:v>
                </c:pt>
                <c:pt idx="4">
                  <c:v>42.5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  <c:pt idx="8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0F-4325-BDF4-8C298A8C3F32}"/>
            </c:ext>
          </c:extLst>
        </c:ser>
        <c:ser>
          <c:idx val="3"/>
          <c:order val="3"/>
          <c:tx>
            <c:strRef>
              <c:f>Costi!$F$2</c:f>
              <c:strCache>
                <c:ptCount val="1"/>
                <c:pt idx="0">
                  <c:v>Costi medi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Costi!$B$3:$B$11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Costi!$F$3:$F$11</c:f>
              <c:numCache>
                <c:formatCode>General</c:formatCode>
                <c:ptCount val="9"/>
                <c:pt idx="0">
                  <c:v>0</c:v>
                </c:pt>
                <c:pt idx="1">
                  <c:v>120</c:v>
                </c:pt>
                <c:pt idx="2">
                  <c:v>65</c:v>
                </c:pt>
                <c:pt idx="3">
                  <c:v>45.8</c:v>
                </c:pt>
                <c:pt idx="4">
                  <c:v>35.6</c:v>
                </c:pt>
                <c:pt idx="5">
                  <c:v>30</c:v>
                </c:pt>
                <c:pt idx="6">
                  <c:v>30</c:v>
                </c:pt>
                <c:pt idx="7">
                  <c:v>32.1</c:v>
                </c:pt>
                <c:pt idx="8">
                  <c:v>37.5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0F-4325-BDF4-8C298A8C3F32}"/>
            </c:ext>
          </c:extLst>
        </c:ser>
        <c:ser>
          <c:idx val="4"/>
          <c:order val="4"/>
          <c:tx>
            <c:strRef>
              <c:f>Costi!$G$2</c:f>
              <c:strCache>
                <c:ptCount val="1"/>
                <c:pt idx="0">
                  <c:v>Costi marginali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Costi!$B$3:$B$11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Costi!$G$3:$G$11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10</c:v>
                </c:pt>
                <c:pt idx="3">
                  <c:v>7.5</c:v>
                </c:pt>
                <c:pt idx="4">
                  <c:v>5</c:v>
                </c:pt>
                <c:pt idx="5">
                  <c:v>7.5</c:v>
                </c:pt>
                <c:pt idx="6">
                  <c:v>30</c:v>
                </c:pt>
                <c:pt idx="7">
                  <c:v>45</c:v>
                </c:pt>
                <c:pt idx="8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0F-4325-BDF4-8C298A8C3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255728"/>
        <c:axId val="159324852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Costi!$E$2</c15:sqref>
                        </c15:formulaRef>
                      </c:ext>
                    </c:extLst>
                    <c:strCache>
                      <c:ptCount val="1"/>
                      <c:pt idx="0">
                        <c:v>Costi totali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Costi!$B$3:$B$11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Costi!$E$3:$E$11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100</c:v>
                      </c:pt>
                      <c:pt idx="1">
                        <c:v>120</c:v>
                      </c:pt>
                      <c:pt idx="2">
                        <c:v>130</c:v>
                      </c:pt>
                      <c:pt idx="3">
                        <c:v>137.5</c:v>
                      </c:pt>
                      <c:pt idx="4">
                        <c:v>142.5</c:v>
                      </c:pt>
                      <c:pt idx="5">
                        <c:v>150</c:v>
                      </c:pt>
                      <c:pt idx="6">
                        <c:v>180</c:v>
                      </c:pt>
                      <c:pt idx="7">
                        <c:v>225</c:v>
                      </c:pt>
                      <c:pt idx="8">
                        <c:v>300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E00F-4325-BDF4-8C298A8C3F32}"/>
                  </c:ext>
                </c:extLst>
              </c15:ser>
            </c15:filteredScatterSeries>
          </c:ext>
        </c:extLst>
      </c:scatterChart>
      <c:valAx>
        <c:axId val="159325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3248528"/>
        <c:crosses val="autoZero"/>
        <c:crossBetween val="midCat"/>
      </c:valAx>
      <c:valAx>
        <c:axId val="159324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325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644524</xdr:colOff>
      <xdr:row>11</xdr:row>
      <xdr:rowOff>138705</xdr:rowOff>
    </xdr:from>
    <xdr:to>
      <xdr:col>8</xdr:col>
      <xdr:colOff>982819</xdr:colOff>
      <xdr:row>23</xdr:row>
      <xdr:rowOff>62087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32CC5D3-1735-67FF-EA57-4BE4AAF90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1DFA-5DF2-49CA-8528-444FDE1AC295}">
  <dimension ref="B1:I17"/>
  <sheetViews>
    <sheetView tabSelected="1" zoomScale="145" zoomScaleNormal="145" workbookViewId="0">
      <selection activeCell="C14" sqref="C14"/>
    </sheetView>
  </sheetViews>
  <sheetFormatPr defaultRowHeight="15" x14ac:dyDescent="0.25"/>
  <cols>
    <col min="2" max="2" width="17.7109375" bestFit="1" customWidth="1"/>
    <col min="3" max="3" width="18.140625" bestFit="1" customWidth="1"/>
    <col min="4" max="4" width="13.140625" bestFit="1" customWidth="1"/>
    <col min="5" max="5" width="11" bestFit="1" customWidth="1"/>
    <col min="6" max="6" width="12.5703125" bestFit="1" customWidth="1"/>
    <col min="7" max="7" width="14.28515625" bestFit="1" customWidth="1"/>
    <col min="8" max="8" width="20.7109375" bestFit="1" customWidth="1"/>
    <col min="9" max="9" width="24.7109375" bestFit="1" customWidth="1"/>
  </cols>
  <sheetData>
    <row r="1" spans="2:9" ht="15.75" thickBot="1" x14ac:dyDescent="0.3"/>
    <row r="2" spans="2:9" ht="16.5" thickTop="1" thickBot="1" x14ac:dyDescent="0.3">
      <c r="B2" s="58" t="s">
        <v>12</v>
      </c>
      <c r="C2" s="36" t="s">
        <v>15</v>
      </c>
      <c r="D2" s="36" t="s">
        <v>16</v>
      </c>
      <c r="E2" s="36" t="s">
        <v>17</v>
      </c>
      <c r="F2" s="36" t="s">
        <v>14</v>
      </c>
      <c r="G2" s="36" t="s">
        <v>13</v>
      </c>
      <c r="H2" s="36" t="s">
        <v>22</v>
      </c>
      <c r="I2" s="59" t="s">
        <v>23</v>
      </c>
    </row>
    <row r="3" spans="2:9" x14ac:dyDescent="0.25">
      <c r="B3" s="54">
        <v>0</v>
      </c>
      <c r="C3" s="55">
        <f>$C$13</f>
        <v>100</v>
      </c>
      <c r="D3" s="55">
        <v>0</v>
      </c>
      <c r="E3" s="55">
        <f>C3+D3</f>
        <v>100</v>
      </c>
      <c r="F3" s="56" t="s">
        <v>6</v>
      </c>
      <c r="G3" s="56" t="s">
        <v>6</v>
      </c>
      <c r="H3" s="56" t="s">
        <v>6</v>
      </c>
      <c r="I3" s="57" t="s">
        <v>6</v>
      </c>
    </row>
    <row r="4" spans="2:9" x14ac:dyDescent="0.25">
      <c r="B4" s="24">
        <v>1</v>
      </c>
      <c r="C4" s="4">
        <f>$C$13</f>
        <v>100</v>
      </c>
      <c r="D4" s="4">
        <v>20</v>
      </c>
      <c r="E4" s="4">
        <f>C4+D4</f>
        <v>120</v>
      </c>
      <c r="F4" s="4">
        <f>ROUNDDOWN(E4/B4,1)</f>
        <v>120</v>
      </c>
      <c r="G4" s="4">
        <f>E4-E3</f>
        <v>20</v>
      </c>
      <c r="H4" s="52" t="str">
        <f>IF(F4=G4,"Punto di fuga","")</f>
        <v/>
      </c>
      <c r="I4" s="53" t="str">
        <f>IF($C$16&gt;=$C$14,IF(OR(G4=$C$16,AND(G4&lt;$C$16,$C$16&lt;G5,G5&lt;&gt;0),AND(G4&lt;$C$16,G5=0)),"Ottimo economico",""),"")</f>
        <v/>
      </c>
    </row>
    <row r="5" spans="2:9" x14ac:dyDescent="0.25">
      <c r="B5" s="24">
        <v>2</v>
      </c>
      <c r="C5" s="4">
        <f>$C$13</f>
        <v>100</v>
      </c>
      <c r="D5" s="4">
        <v>30</v>
      </c>
      <c r="E5" s="4">
        <f>C5+D5</f>
        <v>130</v>
      </c>
      <c r="F5" s="4">
        <f t="shared" ref="F5:F11" si="0">ROUNDDOWN(E5/B5,1)</f>
        <v>65</v>
      </c>
      <c r="G5" s="4">
        <f>E5-E4</f>
        <v>10</v>
      </c>
      <c r="H5" s="52" t="str">
        <f t="shared" ref="H5:H11" si="1">IF(F5=G5,"Punto di fuga","")</f>
        <v/>
      </c>
      <c r="I5" s="53" t="str">
        <f t="shared" ref="I5:I11" si="2">IF($C$16&gt;=$C$14,IF(OR(G5=$C$16,AND(G5&lt;$C$16,$C$16&lt;G6,G6&lt;&gt;0),AND(G5&lt;$C$16,G6=0)),"Ottimo economico",""),"")</f>
        <v/>
      </c>
    </row>
    <row r="6" spans="2:9" x14ac:dyDescent="0.25">
      <c r="B6" s="24">
        <v>3</v>
      </c>
      <c r="C6" s="4">
        <f>$C$13</f>
        <v>100</v>
      </c>
      <c r="D6" s="4">
        <v>37.5</v>
      </c>
      <c r="E6" s="4">
        <f>C6+D6</f>
        <v>137.5</v>
      </c>
      <c r="F6" s="4">
        <f t="shared" si="0"/>
        <v>45.8</v>
      </c>
      <c r="G6" s="4">
        <f>E6-E5</f>
        <v>7.5</v>
      </c>
      <c r="H6" s="52" t="str">
        <f t="shared" si="1"/>
        <v/>
      </c>
      <c r="I6" s="53" t="str">
        <f t="shared" si="2"/>
        <v/>
      </c>
    </row>
    <row r="7" spans="2:9" x14ac:dyDescent="0.25">
      <c r="B7" s="24">
        <v>4</v>
      </c>
      <c r="C7" s="4">
        <f>$C$13</f>
        <v>100</v>
      </c>
      <c r="D7" s="4">
        <v>42.5</v>
      </c>
      <c r="E7" s="4">
        <f>C7+D7</f>
        <v>142.5</v>
      </c>
      <c r="F7" s="4">
        <f t="shared" si="0"/>
        <v>35.6</v>
      </c>
      <c r="G7" s="4">
        <f>E7-E6</f>
        <v>5</v>
      </c>
      <c r="H7" s="52" t="str">
        <f t="shared" si="1"/>
        <v/>
      </c>
      <c r="I7" s="53" t="str">
        <f t="shared" si="2"/>
        <v/>
      </c>
    </row>
    <row r="8" spans="2:9" x14ac:dyDescent="0.25">
      <c r="B8" s="24">
        <v>5</v>
      </c>
      <c r="C8" s="4">
        <f>$C$13</f>
        <v>100</v>
      </c>
      <c r="D8" s="4">
        <v>50</v>
      </c>
      <c r="E8" s="4">
        <f>C8+D8</f>
        <v>150</v>
      </c>
      <c r="F8" s="4">
        <f t="shared" si="0"/>
        <v>30</v>
      </c>
      <c r="G8" s="4">
        <f>E8-E7</f>
        <v>7.5</v>
      </c>
      <c r="H8" s="52" t="str">
        <f t="shared" si="1"/>
        <v/>
      </c>
      <c r="I8" s="53" t="str">
        <f t="shared" si="2"/>
        <v/>
      </c>
    </row>
    <row r="9" spans="2:9" x14ac:dyDescent="0.25">
      <c r="B9" s="24">
        <v>6</v>
      </c>
      <c r="C9" s="4">
        <f>$C$13</f>
        <v>100</v>
      </c>
      <c r="D9" s="4">
        <v>80</v>
      </c>
      <c r="E9" s="4">
        <f>C9+D9</f>
        <v>180</v>
      </c>
      <c r="F9" s="4">
        <f t="shared" si="0"/>
        <v>30</v>
      </c>
      <c r="G9" s="4">
        <f>E9-E8</f>
        <v>30</v>
      </c>
      <c r="H9" s="52" t="str">
        <f>IF(F9=G9,"Punto di fuga","")</f>
        <v>Punto di fuga</v>
      </c>
      <c r="I9" s="53" t="str">
        <f t="shared" si="2"/>
        <v>Ottimo economico</v>
      </c>
    </row>
    <row r="10" spans="2:9" x14ac:dyDescent="0.25">
      <c r="B10" s="24">
        <v>7</v>
      </c>
      <c r="C10" s="4">
        <f>$C$13</f>
        <v>100</v>
      </c>
      <c r="D10" s="4">
        <v>125</v>
      </c>
      <c r="E10" s="4">
        <f>C10+D10</f>
        <v>225</v>
      </c>
      <c r="F10" s="4">
        <f t="shared" si="0"/>
        <v>32.1</v>
      </c>
      <c r="G10" s="4">
        <f>E10-E9</f>
        <v>45</v>
      </c>
      <c r="H10" s="52" t="str">
        <f t="shared" si="1"/>
        <v/>
      </c>
      <c r="I10" s="53" t="str">
        <f t="shared" si="2"/>
        <v/>
      </c>
    </row>
    <row r="11" spans="2:9" ht="15.75" thickBot="1" x14ac:dyDescent="0.3">
      <c r="B11" s="25">
        <v>8</v>
      </c>
      <c r="C11" s="17">
        <f>$C$13</f>
        <v>100</v>
      </c>
      <c r="D11" s="17">
        <v>200</v>
      </c>
      <c r="E11" s="17">
        <f>C11+D11</f>
        <v>300</v>
      </c>
      <c r="F11" s="17">
        <f t="shared" si="0"/>
        <v>37.5</v>
      </c>
      <c r="G11" s="17">
        <f>E11-E10</f>
        <v>75</v>
      </c>
      <c r="H11" s="63" t="str">
        <f t="shared" si="1"/>
        <v/>
      </c>
      <c r="I11" s="64" t="str">
        <f t="shared" si="2"/>
        <v/>
      </c>
    </row>
    <row r="12" spans="2:9" ht="16.5" thickTop="1" thickBot="1" x14ac:dyDescent="0.3">
      <c r="H12" s="51"/>
      <c r="I12" s="51"/>
    </row>
    <row r="13" spans="2:9" x14ac:dyDescent="0.25">
      <c r="B13" s="60" t="s">
        <v>15</v>
      </c>
      <c r="C13" s="66">
        <v>100</v>
      </c>
    </row>
    <row r="14" spans="2:9" x14ac:dyDescent="0.25">
      <c r="B14" s="61" t="s">
        <v>19</v>
      </c>
      <c r="C14" s="67">
        <f>INDEX(F4:F11, MATCH("Punto di fuga", H4:H11, 0))</f>
        <v>30</v>
      </c>
    </row>
    <row r="15" spans="2:9" x14ac:dyDescent="0.25">
      <c r="B15" s="61" t="s">
        <v>20</v>
      </c>
      <c r="C15" s="67">
        <f>INDEX(B3:B11, MATCH(C14, G3:G11, 0))</f>
        <v>6</v>
      </c>
    </row>
    <row r="16" spans="2:9" x14ac:dyDescent="0.25">
      <c r="B16" s="61" t="s">
        <v>18</v>
      </c>
      <c r="C16" s="68">
        <v>42</v>
      </c>
    </row>
    <row r="17" spans="2:3" ht="15.75" thickBot="1" x14ac:dyDescent="0.3">
      <c r="B17" s="62" t="s">
        <v>21</v>
      </c>
      <c r="C17" s="65">
        <f>IF(C16&lt;C14,"Si esce dal mercato",INDEX(B3:B11,MATCH("Ottimo economico",I3:I11,0)))</f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C1D9-4468-40EE-AEC1-05AC83165741}">
  <dimension ref="B1:H13"/>
  <sheetViews>
    <sheetView zoomScale="205" zoomScaleNormal="205" workbookViewId="0">
      <selection activeCell="C15" sqref="C15"/>
    </sheetView>
  </sheetViews>
  <sheetFormatPr defaultRowHeight="15" x14ac:dyDescent="0.25"/>
  <cols>
    <col min="3" max="3" width="16.5703125" bestFit="1" customWidth="1"/>
    <col min="4" max="4" width="15.85546875" bestFit="1" customWidth="1"/>
    <col min="5" max="5" width="12.140625" bestFit="1" customWidth="1"/>
    <col min="6" max="6" width="8.7109375" bestFit="1" customWidth="1"/>
    <col min="7" max="7" width="15.85546875" bestFit="1" customWidth="1"/>
    <col min="8" max="8" width="12.140625" bestFit="1" customWidth="1"/>
  </cols>
  <sheetData>
    <row r="1" spans="2:8" ht="15.75" thickBot="1" x14ac:dyDescent="0.3"/>
    <row r="2" spans="2:8" ht="16.5" thickTop="1" thickBot="1" x14ac:dyDescent="0.3">
      <c r="B2" s="38" t="s">
        <v>10</v>
      </c>
      <c r="C2" s="39"/>
      <c r="D2" s="40"/>
      <c r="F2" s="41" t="s">
        <v>11</v>
      </c>
      <c r="G2" s="42"/>
      <c r="H2" s="43"/>
    </row>
    <row r="3" spans="2:8" ht="15.75" thickTop="1" x14ac:dyDescent="0.25">
      <c r="B3" s="27" t="s">
        <v>9</v>
      </c>
      <c r="C3" s="28" t="s">
        <v>7</v>
      </c>
      <c r="D3" s="29" t="s">
        <v>8</v>
      </c>
      <c r="F3" s="27" t="s">
        <v>9</v>
      </c>
      <c r="G3" s="28" t="s">
        <v>7</v>
      </c>
      <c r="H3" s="29" t="s">
        <v>8</v>
      </c>
    </row>
    <row r="4" spans="2:8" x14ac:dyDescent="0.25">
      <c r="B4" s="24">
        <v>1</v>
      </c>
      <c r="C4" s="4">
        <v>100</v>
      </c>
      <c r="D4" s="30">
        <f>SUM(C4)</f>
        <v>100</v>
      </c>
      <c r="F4" s="24">
        <v>1</v>
      </c>
      <c r="G4" s="4">
        <v>70</v>
      </c>
      <c r="H4" s="30">
        <f>SUM(G4)</f>
        <v>70</v>
      </c>
    </row>
    <row r="5" spans="2:8" x14ac:dyDescent="0.25">
      <c r="B5" s="24">
        <v>2</v>
      </c>
      <c r="C5" s="4">
        <v>80</v>
      </c>
      <c r="D5" s="30">
        <f>SUM(C4:C5)</f>
        <v>180</v>
      </c>
      <c r="F5" s="24">
        <v>2</v>
      </c>
      <c r="G5" s="4">
        <v>60</v>
      </c>
      <c r="H5" s="30">
        <f>SUM(G4:G5)</f>
        <v>130</v>
      </c>
    </row>
    <row r="6" spans="2:8" x14ac:dyDescent="0.25">
      <c r="B6" s="24">
        <v>3</v>
      </c>
      <c r="C6" s="4">
        <v>70</v>
      </c>
      <c r="D6" s="30">
        <f>SUM(C4:C6)</f>
        <v>250</v>
      </c>
      <c r="F6" s="24">
        <v>3</v>
      </c>
      <c r="G6" s="4">
        <v>50</v>
      </c>
      <c r="H6" s="30">
        <f>SUM(G4:G6)</f>
        <v>180</v>
      </c>
    </row>
    <row r="7" spans="2:8" x14ac:dyDescent="0.25">
      <c r="B7" s="24">
        <v>4</v>
      </c>
      <c r="C7" s="4">
        <v>60</v>
      </c>
      <c r="D7" s="30">
        <f>SUM(C4:C7)</f>
        <v>310</v>
      </c>
      <c r="F7" s="24">
        <v>4</v>
      </c>
      <c r="G7" s="4">
        <v>40</v>
      </c>
      <c r="H7" s="30">
        <f>SUM(G4:G7)</f>
        <v>220</v>
      </c>
    </row>
    <row r="8" spans="2:8" x14ac:dyDescent="0.25">
      <c r="B8" s="24">
        <v>5</v>
      </c>
      <c r="C8" s="4">
        <v>50</v>
      </c>
      <c r="D8" s="30">
        <f>SUM(C4:C8)</f>
        <v>360</v>
      </c>
      <c r="F8" s="24">
        <v>5</v>
      </c>
      <c r="G8" s="4">
        <v>20</v>
      </c>
      <c r="H8" s="30">
        <f>SUM(G4:G8)</f>
        <v>240</v>
      </c>
    </row>
    <row r="9" spans="2:8" x14ac:dyDescent="0.25">
      <c r="B9" s="24">
        <v>6</v>
      </c>
      <c r="C9" s="4">
        <v>40</v>
      </c>
      <c r="D9" s="30">
        <f>SUM(C4:C9)</f>
        <v>400</v>
      </c>
      <c r="F9" s="24">
        <v>6</v>
      </c>
      <c r="G9" s="4">
        <v>0</v>
      </c>
      <c r="H9" s="30">
        <f>SUM(G4:G9)</f>
        <v>240</v>
      </c>
    </row>
    <row r="10" spans="2:8" x14ac:dyDescent="0.25">
      <c r="B10" s="24">
        <v>7</v>
      </c>
      <c r="C10" s="4">
        <v>20</v>
      </c>
      <c r="D10" s="30">
        <f>SUM(C4:C10)</f>
        <v>420</v>
      </c>
      <c r="F10" s="24">
        <v>7</v>
      </c>
      <c r="G10" s="4">
        <v>-10</v>
      </c>
      <c r="H10" s="30">
        <f>SUM(G4:G10)</f>
        <v>230</v>
      </c>
    </row>
    <row r="11" spans="2:8" x14ac:dyDescent="0.25">
      <c r="B11" s="24">
        <v>8</v>
      </c>
      <c r="C11" s="4">
        <v>0</v>
      </c>
      <c r="D11" s="30">
        <f>SUM(C4:C11)</f>
        <v>420</v>
      </c>
      <c r="F11" s="24">
        <v>8</v>
      </c>
      <c r="G11" s="4">
        <v>-20</v>
      </c>
      <c r="H11" s="30">
        <f>SUM(G4:G11)</f>
        <v>210</v>
      </c>
    </row>
    <row r="12" spans="2:8" ht="15.75" thickBot="1" x14ac:dyDescent="0.3">
      <c r="B12" s="25">
        <v>9</v>
      </c>
      <c r="C12" s="17">
        <v>-10</v>
      </c>
      <c r="D12" s="31">
        <f>SUM(C4:C12)</f>
        <v>410</v>
      </c>
      <c r="F12" s="25">
        <v>9</v>
      </c>
      <c r="G12" s="17">
        <v>-30</v>
      </c>
      <c r="H12" s="31">
        <f>SUM(G4:G12)</f>
        <v>180</v>
      </c>
    </row>
    <row r="13" spans="2:8" ht="15.75" thickTop="1" x14ac:dyDescent="0.25"/>
  </sheetData>
  <mergeCells count="2">
    <mergeCell ref="B2:D2"/>
    <mergeCell ref="F2:H2"/>
  </mergeCells>
  <pageMargins left="0.7" right="0.7" top="0.75" bottom="0.75" header="0.3" footer="0.3"/>
  <ignoredErrors>
    <ignoredError sqref="D5:D11 H5:H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EAAB-1106-4797-A563-A5DAD61BAF0D}">
  <dimension ref="C2:K22"/>
  <sheetViews>
    <sheetView topLeftCell="B1" zoomScale="145" zoomScaleNormal="145" workbookViewId="0">
      <selection activeCell="E21" sqref="E15:E21"/>
    </sheetView>
  </sheetViews>
  <sheetFormatPr defaultRowHeight="15" x14ac:dyDescent="0.25"/>
  <cols>
    <col min="3" max="3" width="12.42578125" bestFit="1" customWidth="1"/>
    <col min="4" max="4" width="16.5703125" bestFit="1" customWidth="1"/>
    <col min="5" max="5" width="28.42578125" bestFit="1" customWidth="1"/>
    <col min="6" max="6" width="12.42578125" bestFit="1" customWidth="1"/>
    <col min="7" max="7" width="16.5703125" bestFit="1" customWidth="1"/>
    <col min="8" max="8" width="28.140625" bestFit="1" customWidth="1"/>
    <col min="9" max="9" width="12.42578125" bestFit="1" customWidth="1"/>
    <col min="10" max="10" width="16.5703125" bestFit="1" customWidth="1"/>
    <col min="11" max="11" width="28.140625" bestFit="1" customWidth="1"/>
  </cols>
  <sheetData>
    <row r="2" spans="3:11" ht="15.75" thickBot="1" x14ac:dyDescent="0.3"/>
    <row r="3" spans="3:11" ht="15.75" thickBot="1" x14ac:dyDescent="0.3">
      <c r="C3" s="46" t="s">
        <v>0</v>
      </c>
      <c r="D3" s="47"/>
      <c r="E3" s="47"/>
      <c r="F3" s="48" t="s">
        <v>1</v>
      </c>
      <c r="G3" s="49"/>
      <c r="H3" s="50"/>
      <c r="I3" s="44" t="s">
        <v>2</v>
      </c>
      <c r="J3" s="44"/>
      <c r="K3" s="45"/>
    </row>
    <row r="4" spans="3:11" ht="15.75" thickBot="1" x14ac:dyDescent="0.3">
      <c r="C4" s="18" t="s">
        <v>3</v>
      </c>
      <c r="D4" s="19" t="s">
        <v>4</v>
      </c>
      <c r="E4" s="21" t="s">
        <v>5</v>
      </c>
      <c r="F4" s="18" t="s">
        <v>3</v>
      </c>
      <c r="G4" s="19" t="s">
        <v>4</v>
      </c>
      <c r="H4" s="20" t="s">
        <v>5</v>
      </c>
      <c r="I4" s="22" t="s">
        <v>3</v>
      </c>
      <c r="J4" s="19" t="s">
        <v>4</v>
      </c>
      <c r="K4" s="20" t="s">
        <v>5</v>
      </c>
    </row>
    <row r="5" spans="3:11" x14ac:dyDescent="0.25">
      <c r="C5" s="1">
        <v>0</v>
      </c>
      <c r="D5" s="2">
        <v>2000</v>
      </c>
      <c r="E5" s="14" t="s">
        <v>6</v>
      </c>
      <c r="F5" s="9">
        <v>0</v>
      </c>
      <c r="G5" s="2">
        <v>2400</v>
      </c>
      <c r="H5" s="15" t="s">
        <v>6</v>
      </c>
      <c r="I5" s="1">
        <v>0</v>
      </c>
      <c r="J5" s="2">
        <v>1900</v>
      </c>
      <c r="K5" s="14" t="s">
        <v>6</v>
      </c>
    </row>
    <row r="6" spans="3:11" x14ac:dyDescent="0.25">
      <c r="C6" s="3">
        <v>300</v>
      </c>
      <c r="D6" s="4">
        <v>1400</v>
      </c>
      <c r="E6" s="5">
        <f>(C6-C5)/-(D6-D5)</f>
        <v>0.5</v>
      </c>
      <c r="F6" s="10">
        <v>500</v>
      </c>
      <c r="G6" s="4">
        <v>1600</v>
      </c>
      <c r="H6" s="12">
        <f>(F6-F5)/-(G6-G5)</f>
        <v>0.625</v>
      </c>
      <c r="I6" s="3">
        <v>200</v>
      </c>
      <c r="J6" s="4">
        <v>1200</v>
      </c>
      <c r="K6" s="5">
        <f>(I6-I5)/-(J6-J5)</f>
        <v>0.2857142857142857</v>
      </c>
    </row>
    <row r="7" spans="3:11" x14ac:dyDescent="0.25">
      <c r="C7" s="3">
        <v>500</v>
      </c>
      <c r="D7" s="4">
        <v>1000</v>
      </c>
      <c r="E7" s="5">
        <f t="shared" ref="E7:E9" si="0">(C7-C6)/-(D7-D6)</f>
        <v>0.5</v>
      </c>
      <c r="F7" s="10">
        <v>700</v>
      </c>
      <c r="G7" s="4">
        <v>1200</v>
      </c>
      <c r="H7" s="12">
        <f t="shared" ref="H7:H9" si="1">(F7-F6)/-(G7-G6)</f>
        <v>0.5</v>
      </c>
      <c r="I7" s="3">
        <v>400</v>
      </c>
      <c r="J7" s="4">
        <v>900</v>
      </c>
      <c r="K7" s="5">
        <f t="shared" ref="K7:K9" si="2">(I7-I6)/-(J7-J6)</f>
        <v>0.66666666666666663</v>
      </c>
    </row>
    <row r="8" spans="3:11" x14ac:dyDescent="0.25">
      <c r="C8" s="3">
        <v>600</v>
      </c>
      <c r="D8" s="4">
        <v>800</v>
      </c>
      <c r="E8" s="5">
        <f t="shared" si="0"/>
        <v>0.5</v>
      </c>
      <c r="F8" s="10">
        <v>800</v>
      </c>
      <c r="G8" s="4">
        <v>1000</v>
      </c>
      <c r="H8" s="12">
        <f t="shared" si="1"/>
        <v>0.5</v>
      </c>
      <c r="I8" s="3">
        <v>500</v>
      </c>
      <c r="J8" s="4">
        <v>700</v>
      </c>
      <c r="K8" s="5">
        <f t="shared" si="2"/>
        <v>0.5</v>
      </c>
    </row>
    <row r="9" spans="3:11" ht="15.75" thickBot="1" x14ac:dyDescent="0.3">
      <c r="C9" s="6">
        <v>1000</v>
      </c>
      <c r="D9" s="7">
        <v>0</v>
      </c>
      <c r="E9" s="8">
        <f t="shared" si="0"/>
        <v>0.5</v>
      </c>
      <c r="F9" s="11">
        <v>1200</v>
      </c>
      <c r="G9" s="7">
        <v>0</v>
      </c>
      <c r="H9" s="13">
        <f t="shared" si="1"/>
        <v>0.4</v>
      </c>
      <c r="I9" s="6">
        <v>900</v>
      </c>
      <c r="J9" s="7">
        <v>0</v>
      </c>
      <c r="K9" s="8">
        <f t="shared" si="2"/>
        <v>0.5714285714285714</v>
      </c>
    </row>
    <row r="10" spans="3:11" ht="15.75" thickBot="1" x14ac:dyDescent="0.3"/>
    <row r="11" spans="3:11" ht="16.5" thickTop="1" thickBot="1" x14ac:dyDescent="0.3">
      <c r="C11" s="38" t="str">
        <f>Utilità!B2</f>
        <v>D</v>
      </c>
      <c r="D11" s="39"/>
      <c r="E11" s="40"/>
      <c r="F11" s="41" t="s">
        <v>1</v>
      </c>
      <c r="G11" s="42"/>
      <c r="H11" s="43"/>
      <c r="I11" s="44" t="s">
        <v>2</v>
      </c>
      <c r="J11" s="44"/>
      <c r="K11" s="45"/>
    </row>
    <row r="12" spans="3:11" ht="16.5" thickTop="1" thickBot="1" x14ac:dyDescent="0.3">
      <c r="C12" s="18" t="s">
        <v>3</v>
      </c>
      <c r="D12" s="19" t="s">
        <v>4</v>
      </c>
      <c r="E12" s="21" t="s">
        <v>5</v>
      </c>
      <c r="F12" s="35" t="s">
        <v>3</v>
      </c>
      <c r="G12" s="36" t="s">
        <v>4</v>
      </c>
      <c r="H12" s="37" t="s">
        <v>5</v>
      </c>
      <c r="I12" s="22" t="s">
        <v>3</v>
      </c>
      <c r="J12" s="19" t="s">
        <v>4</v>
      </c>
      <c r="K12" s="20" t="s">
        <v>5</v>
      </c>
    </row>
    <row r="13" spans="3:11" x14ac:dyDescent="0.25">
      <c r="C13" s="23">
        <f>Utilità!C4</f>
        <v>100</v>
      </c>
      <c r="D13" s="2">
        <f>Utilità!G12</f>
        <v>-30</v>
      </c>
      <c r="E13" s="15" t="s">
        <v>6</v>
      </c>
      <c r="F13" s="1">
        <v>0</v>
      </c>
      <c r="G13" s="2">
        <v>2400</v>
      </c>
      <c r="H13" s="14" t="s">
        <v>6</v>
      </c>
      <c r="I13" s="9">
        <v>0</v>
      </c>
      <c r="J13" s="2">
        <v>1900</v>
      </c>
      <c r="K13" s="32" t="s">
        <v>6</v>
      </c>
    </row>
    <row r="14" spans="3:11" x14ac:dyDescent="0.25">
      <c r="C14" s="24">
        <f>Utilità!C5</f>
        <v>80</v>
      </c>
      <c r="D14" s="4">
        <f>Utilità!G11</f>
        <v>-20</v>
      </c>
      <c r="E14" s="12">
        <f>(C14-C13)/-(D14-D13)</f>
        <v>2</v>
      </c>
      <c r="F14" s="3">
        <v>500</v>
      </c>
      <c r="G14" s="4">
        <v>1600</v>
      </c>
      <c r="H14" s="5">
        <f>(F14-F13)/-(G14-G13)</f>
        <v>0.625</v>
      </c>
      <c r="I14" s="10">
        <v>200</v>
      </c>
      <c r="J14" s="4">
        <v>1200</v>
      </c>
      <c r="K14" s="30">
        <f>(I14-I13)/-(J14-J13)</f>
        <v>0.2857142857142857</v>
      </c>
    </row>
    <row r="15" spans="3:11" x14ac:dyDescent="0.25">
      <c r="C15" s="24">
        <f>Utilità!C6</f>
        <v>70</v>
      </c>
      <c r="D15" s="4">
        <f>Utilità!G10</f>
        <v>-10</v>
      </c>
      <c r="E15" s="12">
        <f t="shared" ref="E15:E21" si="3">(C15-C14)/-(D15-D14)</f>
        <v>1</v>
      </c>
      <c r="F15" s="3">
        <v>700</v>
      </c>
      <c r="G15" s="4">
        <v>1200</v>
      </c>
      <c r="H15" s="5">
        <f t="shared" ref="H15:H17" si="4">(F15-F14)/-(G15-G14)</f>
        <v>0.5</v>
      </c>
      <c r="I15" s="10">
        <v>400</v>
      </c>
      <c r="J15" s="4">
        <v>900</v>
      </c>
      <c r="K15" s="30">
        <f t="shared" ref="K15:K17" si="5">(I15-I14)/-(J15-J14)</f>
        <v>0.66666666666666663</v>
      </c>
    </row>
    <row r="16" spans="3:11" x14ac:dyDescent="0.25">
      <c r="C16" s="24">
        <f>Utilità!C7</f>
        <v>60</v>
      </c>
      <c r="D16" s="4">
        <f>Utilità!G9</f>
        <v>0</v>
      </c>
      <c r="E16" s="12">
        <f t="shared" si="3"/>
        <v>1</v>
      </c>
      <c r="F16" s="3">
        <v>800</v>
      </c>
      <c r="G16" s="4">
        <v>1000</v>
      </c>
      <c r="H16" s="5">
        <f t="shared" si="4"/>
        <v>0.5</v>
      </c>
      <c r="I16" s="10">
        <v>500</v>
      </c>
      <c r="J16" s="4">
        <v>700</v>
      </c>
      <c r="K16" s="30">
        <f t="shared" si="5"/>
        <v>0.5</v>
      </c>
    </row>
    <row r="17" spans="3:11" x14ac:dyDescent="0.25">
      <c r="C17" s="24">
        <f>Utilità!C8</f>
        <v>50</v>
      </c>
      <c r="D17" s="4">
        <f>Utilità!G8</f>
        <v>20</v>
      </c>
      <c r="E17" s="12">
        <f t="shared" si="3"/>
        <v>0.5</v>
      </c>
      <c r="F17" s="3">
        <v>1200</v>
      </c>
      <c r="G17" s="4">
        <v>0</v>
      </c>
      <c r="H17" s="5">
        <f t="shared" si="4"/>
        <v>0.4</v>
      </c>
      <c r="I17" s="10">
        <v>900</v>
      </c>
      <c r="J17" s="4">
        <v>0</v>
      </c>
      <c r="K17" s="30">
        <f t="shared" si="5"/>
        <v>0.5714285714285714</v>
      </c>
    </row>
    <row r="18" spans="3:11" x14ac:dyDescent="0.25">
      <c r="C18" s="24">
        <f>Utilità!C9</f>
        <v>40</v>
      </c>
      <c r="D18" s="4">
        <f>Utilità!G7</f>
        <v>40</v>
      </c>
      <c r="E18" s="12">
        <f>(C18-C17)/-(D18-D17)</f>
        <v>0.5</v>
      </c>
      <c r="F18" s="3"/>
      <c r="G18" s="4"/>
      <c r="H18" s="5"/>
      <c r="I18" s="10"/>
      <c r="J18" s="4"/>
      <c r="K18" s="30"/>
    </row>
    <row r="19" spans="3:11" x14ac:dyDescent="0.25">
      <c r="C19" s="24">
        <f>Utilità!C10</f>
        <v>20</v>
      </c>
      <c r="D19" s="4">
        <f>Utilità!G6</f>
        <v>50</v>
      </c>
      <c r="E19" s="12">
        <f>(C19-C18)/-(D19-D18)</f>
        <v>2</v>
      </c>
      <c r="F19" s="3"/>
      <c r="G19" s="4"/>
      <c r="H19" s="5"/>
      <c r="I19" s="10"/>
      <c r="J19" s="4"/>
      <c r="K19" s="30"/>
    </row>
    <row r="20" spans="3:11" x14ac:dyDescent="0.25">
      <c r="C20" s="24">
        <f>Utilità!C11</f>
        <v>0</v>
      </c>
      <c r="D20" s="4">
        <f>Utilità!G5</f>
        <v>60</v>
      </c>
      <c r="E20" s="12">
        <f t="shared" si="3"/>
        <v>2</v>
      </c>
      <c r="F20" s="3"/>
      <c r="G20" s="4"/>
      <c r="H20" s="5"/>
      <c r="I20" s="10"/>
      <c r="J20" s="4"/>
      <c r="K20" s="30"/>
    </row>
    <row r="21" spans="3:11" ht="15.75" thickBot="1" x14ac:dyDescent="0.3">
      <c r="C21" s="25">
        <f>Utilità!C12</f>
        <v>-10</v>
      </c>
      <c r="D21" s="17">
        <f>Utilità!G4</f>
        <v>70</v>
      </c>
      <c r="E21" s="33">
        <f t="shared" si="3"/>
        <v>1</v>
      </c>
      <c r="F21" s="16"/>
      <c r="G21" s="17"/>
      <c r="H21" s="26"/>
      <c r="I21" s="34"/>
      <c r="J21" s="17"/>
      <c r="K21" s="31"/>
    </row>
    <row r="22" spans="3:11" ht="15.75" thickTop="1" x14ac:dyDescent="0.25"/>
  </sheetData>
  <mergeCells count="6">
    <mergeCell ref="C11:E11"/>
    <mergeCell ref="F11:H11"/>
    <mergeCell ref="I11:K11"/>
    <mergeCell ref="C3:E3"/>
    <mergeCell ref="F3:H3"/>
    <mergeCell ref="I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Costi</vt:lpstr>
      <vt:lpstr>Utilità</vt:lpstr>
      <vt:lpstr>Saggio marginale di sostiuzione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Iaria</dc:creator>
  <cp:lastModifiedBy>Luca Iaria</cp:lastModifiedBy>
  <dcterms:created xsi:type="dcterms:W3CDTF">2025-08-23T12:28:31Z</dcterms:created>
  <dcterms:modified xsi:type="dcterms:W3CDTF">2025-08-23T20:43:53Z</dcterms:modified>
</cp:coreProperties>
</file>