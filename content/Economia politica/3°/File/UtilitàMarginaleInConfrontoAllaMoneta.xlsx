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AppuntiScuola\content\Economia politica\3°\File\"/>
    </mc:Choice>
  </mc:AlternateContent>
  <xr:revisionPtr revIDLastSave="0" documentId="13_ncr:1_{B97FACB4-1C4F-4130-8427-DFC89FF3B069}" xr6:coauthVersionLast="47" xr6:coauthVersionMax="47" xr10:uidLastSave="{00000000-0000-0000-0000-000000000000}"/>
  <bookViews>
    <workbookView xWindow="-120" yWindow="-120" windowWidth="29040" windowHeight="15720" xr2:uid="{FF65B486-DF99-452A-A299-879DD6A82C1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0" i="1" l="1"/>
  <c r="J63" i="1"/>
  <c r="F63" i="1"/>
  <c r="E63" i="1"/>
  <c r="F64" i="1"/>
  <c r="E64" i="1" s="1"/>
  <c r="F65" i="1"/>
  <c r="E65" i="1" s="1"/>
  <c r="F66" i="1"/>
  <c r="E66" i="1" s="1"/>
  <c r="F67" i="1"/>
  <c r="E67" i="1" s="1"/>
  <c r="F68" i="1"/>
  <c r="E68" i="1" s="1"/>
  <c r="F69" i="1"/>
  <c r="E69" i="1" s="1"/>
  <c r="F70" i="1"/>
  <c r="E70" i="1" s="1"/>
  <c r="F71" i="1"/>
  <c r="E71" i="1" s="1"/>
  <c r="F72" i="1"/>
  <c r="E72" i="1" s="1"/>
  <c r="E55" i="1"/>
  <c r="E56" i="1"/>
  <c r="E57" i="1"/>
  <c r="E58" i="1"/>
  <c r="E54" i="1"/>
  <c r="F55" i="1"/>
  <c r="F56" i="1"/>
  <c r="F57" i="1"/>
  <c r="F58" i="1"/>
  <c r="F54" i="1"/>
  <c r="F42" i="1"/>
  <c r="F43" i="1"/>
  <c r="E43" i="1" s="1"/>
  <c r="F44" i="1"/>
  <c r="E44" i="1" s="1"/>
  <c r="F45" i="1"/>
  <c r="E45" i="1" s="1"/>
  <c r="F46" i="1"/>
  <c r="F41" i="1"/>
  <c r="E41" i="1" s="1"/>
  <c r="E42" i="1"/>
  <c r="E46" i="1"/>
  <c r="D22" i="1"/>
  <c r="E22" i="1"/>
  <c r="D23" i="1"/>
  <c r="D24" i="1"/>
  <c r="E24" i="1" s="1"/>
  <c r="D25" i="1"/>
  <c r="D26" i="1"/>
  <c r="D27" i="1"/>
  <c r="D28" i="1"/>
  <c r="D29" i="1"/>
  <c r="D30" i="1"/>
  <c r="D31" i="1"/>
  <c r="D32" i="1"/>
  <c r="E32" i="1" s="1"/>
  <c r="D33" i="1"/>
  <c r="F23" i="1"/>
  <c r="F24" i="1"/>
  <c r="F25" i="1"/>
  <c r="F26" i="1"/>
  <c r="F27" i="1"/>
  <c r="F28" i="1"/>
  <c r="E28" i="1" s="1"/>
  <c r="F29" i="1"/>
  <c r="F30" i="1"/>
  <c r="E30" i="1" s="1"/>
  <c r="F31" i="1"/>
  <c r="F32" i="1"/>
  <c r="F33" i="1"/>
  <c r="E25" i="1"/>
  <c r="E26" i="1"/>
  <c r="E27" i="1"/>
  <c r="E31" i="1"/>
  <c r="E33" i="1"/>
  <c r="F22" i="1"/>
  <c r="F6" i="1"/>
  <c r="F7" i="1"/>
  <c r="F8" i="1"/>
  <c r="F9" i="1"/>
  <c r="F10" i="1"/>
  <c r="F11" i="1"/>
  <c r="F12" i="1"/>
  <c r="F13" i="1"/>
  <c r="F14" i="1"/>
  <c r="F15" i="1"/>
  <c r="F16" i="1"/>
  <c r="F5" i="1"/>
  <c r="E6" i="1"/>
  <c r="E7" i="1"/>
  <c r="E8" i="1"/>
  <c r="E9" i="1"/>
  <c r="E10" i="1"/>
  <c r="E11" i="1"/>
  <c r="E12" i="1"/>
  <c r="E13" i="1"/>
  <c r="E14" i="1"/>
  <c r="E15" i="1"/>
  <c r="E16" i="1"/>
  <c r="E5" i="1"/>
  <c r="D15" i="1"/>
  <c r="D16" i="1"/>
  <c r="D6" i="1"/>
  <c r="D7" i="1"/>
  <c r="D8" i="1"/>
  <c r="D9" i="1"/>
  <c r="D10" i="1"/>
  <c r="D11" i="1"/>
  <c r="D12" i="1"/>
  <c r="D13" i="1"/>
  <c r="D14" i="1"/>
  <c r="D5" i="1"/>
  <c r="E23" i="1" l="1"/>
  <c r="E29" i="1"/>
</calcChain>
</file>

<file path=xl/sharedStrings.xml><?xml version="1.0" encoding="utf-8"?>
<sst xmlns="http://schemas.openxmlformats.org/spreadsheetml/2006/main" count="28" uniqueCount="12">
  <si>
    <t>Utilità marginale bene</t>
  </si>
  <si>
    <t>Quantità</t>
  </si>
  <si>
    <t>Utilità moneta</t>
  </si>
  <si>
    <t>Comprare</t>
  </si>
  <si>
    <t>Prezzo bene</t>
  </si>
  <si>
    <t>Reddito</t>
  </si>
  <si>
    <t>Prezzo</t>
  </si>
  <si>
    <t>Quantità Goleador</t>
  </si>
  <si>
    <t>Utilità marginale</t>
  </si>
  <si>
    <t>Compro?</t>
  </si>
  <si>
    <t>Funzione che non sto a spiegare</t>
  </si>
  <si>
    <t>Utilità Marginale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</si>
</sst>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\ &quot;€&quot;"/>
    <numFmt numFmtId="166" formatCode="#,##0.0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0" fillId="0" borderId="0" xfId="0" applyNumberFormat="1"/>
    <xf numFmtId="166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Foglio1!$D$4</c:f>
              <c:strCache>
                <c:ptCount val="1"/>
                <c:pt idx="0">
                  <c:v>Utilità marginale bene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Foglio1!$C$5:$C$16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Foglio1!$D$5:$D$16</c:f>
              <c:numCache>
                <c:formatCode>General</c:formatCode>
                <c:ptCount val="12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  <c:pt idx="11">
                  <c:v>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08-4340-9153-EC6DEC215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092784"/>
        <c:axId val="1629084624"/>
      </c:scatterChart>
      <c:valAx>
        <c:axId val="1629092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29084624"/>
        <c:crosses val="autoZero"/>
        <c:crossBetween val="midCat"/>
      </c:valAx>
      <c:valAx>
        <c:axId val="162908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29092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282087</xdr:colOff>
      <xdr:row>8</xdr:row>
      <xdr:rowOff>20515</xdr:rowOff>
    </xdr:from>
    <xdr:to>
      <xdr:col>18</xdr:col>
      <xdr:colOff>124559</xdr:colOff>
      <xdr:row>24</xdr:row>
      <xdr:rowOff>29308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6A99DF8-194A-5F10-0BE1-69BCD1990C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3ED2C-07B5-4F26-8F95-3238966EED7F}">
  <dimension ref="C3:J72"/>
  <sheetViews>
    <sheetView tabSelected="1" topLeftCell="A56" zoomScale="130" zoomScaleNormal="130" workbookViewId="0">
      <selection activeCell="J70" sqref="J70"/>
    </sheetView>
  </sheetViews>
  <sheetFormatPr defaultRowHeight="15" x14ac:dyDescent="0.25"/>
  <cols>
    <col min="3" max="3" width="17.5703125" bestFit="1" customWidth="1"/>
    <col min="4" max="4" width="21" bestFit="1" customWidth="1"/>
    <col min="5" max="5" width="9.7109375" bestFit="1" customWidth="1"/>
    <col min="6" max="6" width="29.85546875" bestFit="1" customWidth="1"/>
    <col min="7" max="7" width="13.85546875" bestFit="1" customWidth="1"/>
  </cols>
  <sheetData>
    <row r="3" spans="3:8" x14ac:dyDescent="0.25">
      <c r="G3" t="s">
        <v>4</v>
      </c>
      <c r="H3">
        <v>60</v>
      </c>
    </row>
    <row r="4" spans="3:8" x14ac:dyDescent="0.25">
      <c r="C4" t="s">
        <v>1</v>
      </c>
      <c r="D4" t="s">
        <v>0</v>
      </c>
      <c r="E4" t="s">
        <v>3</v>
      </c>
      <c r="G4" t="s">
        <v>2</v>
      </c>
      <c r="H4">
        <v>0.5</v>
      </c>
    </row>
    <row r="5" spans="3:8" x14ac:dyDescent="0.25">
      <c r="C5">
        <v>1</v>
      </c>
      <c r="D5">
        <f>100-(C5-1)*10</f>
        <v>100</v>
      </c>
      <c r="E5" t="b">
        <f>D5&gt;=$H$3*$H$4</f>
        <v>1</v>
      </c>
      <c r="F5">
        <f>$H$3*$H$4</f>
        <v>30</v>
      </c>
    </row>
    <row r="6" spans="3:8" x14ac:dyDescent="0.25">
      <c r="C6">
        <v>2</v>
      </c>
      <c r="D6">
        <f t="shared" ref="D6:D16" si="0">100-(C6-1)*10</f>
        <v>90</v>
      </c>
      <c r="E6" t="b">
        <f t="shared" ref="E6:E16" si="1">D6&gt;=$H$3*$H$4</f>
        <v>1</v>
      </c>
      <c r="F6">
        <f t="shared" ref="F6:F16" si="2">$H$3*$H$4</f>
        <v>30</v>
      </c>
    </row>
    <row r="7" spans="3:8" x14ac:dyDescent="0.25">
      <c r="C7">
        <v>3</v>
      </c>
      <c r="D7">
        <f t="shared" si="0"/>
        <v>80</v>
      </c>
      <c r="E7" t="b">
        <f t="shared" si="1"/>
        <v>1</v>
      </c>
      <c r="F7">
        <f t="shared" si="2"/>
        <v>30</v>
      </c>
    </row>
    <row r="8" spans="3:8" x14ac:dyDescent="0.25">
      <c r="C8">
        <v>4</v>
      </c>
      <c r="D8">
        <f t="shared" si="0"/>
        <v>70</v>
      </c>
      <c r="E8" t="b">
        <f t="shared" si="1"/>
        <v>1</v>
      </c>
      <c r="F8">
        <f t="shared" si="2"/>
        <v>30</v>
      </c>
    </row>
    <row r="9" spans="3:8" x14ac:dyDescent="0.25">
      <c r="C9">
        <v>5</v>
      </c>
      <c r="D9">
        <f t="shared" si="0"/>
        <v>60</v>
      </c>
      <c r="E9" t="b">
        <f t="shared" si="1"/>
        <v>1</v>
      </c>
      <c r="F9">
        <f t="shared" si="2"/>
        <v>30</v>
      </c>
    </row>
    <row r="10" spans="3:8" x14ac:dyDescent="0.25">
      <c r="C10">
        <v>6</v>
      </c>
      <c r="D10">
        <f t="shared" si="0"/>
        <v>50</v>
      </c>
      <c r="E10" t="b">
        <f t="shared" si="1"/>
        <v>1</v>
      </c>
      <c r="F10">
        <f t="shared" si="2"/>
        <v>30</v>
      </c>
    </row>
    <row r="11" spans="3:8" x14ac:dyDescent="0.25">
      <c r="C11">
        <v>7</v>
      </c>
      <c r="D11">
        <f t="shared" si="0"/>
        <v>40</v>
      </c>
      <c r="E11" t="b">
        <f t="shared" si="1"/>
        <v>1</v>
      </c>
      <c r="F11">
        <f t="shared" si="2"/>
        <v>30</v>
      </c>
    </row>
    <row r="12" spans="3:8" x14ac:dyDescent="0.25">
      <c r="C12">
        <v>8</v>
      </c>
      <c r="D12">
        <f t="shared" si="0"/>
        <v>30</v>
      </c>
      <c r="E12" t="b">
        <f t="shared" si="1"/>
        <v>1</v>
      </c>
      <c r="F12">
        <f t="shared" si="2"/>
        <v>30</v>
      </c>
    </row>
    <row r="13" spans="3:8" x14ac:dyDescent="0.25">
      <c r="C13">
        <v>9</v>
      </c>
      <c r="D13">
        <f t="shared" si="0"/>
        <v>20</v>
      </c>
      <c r="E13" t="b">
        <f t="shared" si="1"/>
        <v>0</v>
      </c>
      <c r="F13">
        <f t="shared" si="2"/>
        <v>30</v>
      </c>
    </row>
    <row r="14" spans="3:8" x14ac:dyDescent="0.25">
      <c r="C14">
        <v>10</v>
      </c>
      <c r="D14">
        <f t="shared" si="0"/>
        <v>10</v>
      </c>
      <c r="E14" t="b">
        <f t="shared" si="1"/>
        <v>0</v>
      </c>
      <c r="F14">
        <f t="shared" si="2"/>
        <v>30</v>
      </c>
    </row>
    <row r="15" spans="3:8" x14ac:dyDescent="0.25">
      <c r="C15">
        <v>11</v>
      </c>
      <c r="D15">
        <f t="shared" si="0"/>
        <v>0</v>
      </c>
      <c r="E15" t="b">
        <f t="shared" si="1"/>
        <v>0</v>
      </c>
      <c r="F15">
        <f t="shared" si="2"/>
        <v>30</v>
      </c>
    </row>
    <row r="16" spans="3:8" x14ac:dyDescent="0.25">
      <c r="C16">
        <v>12</v>
      </c>
      <c r="D16">
        <f t="shared" si="0"/>
        <v>-10</v>
      </c>
      <c r="E16" t="b">
        <f t="shared" si="1"/>
        <v>0</v>
      </c>
      <c r="F16">
        <f t="shared" si="2"/>
        <v>30</v>
      </c>
    </row>
    <row r="19" spans="3:8" x14ac:dyDescent="0.25">
      <c r="G19" t="s">
        <v>5</v>
      </c>
      <c r="H19">
        <v>30</v>
      </c>
    </row>
    <row r="20" spans="3:8" x14ac:dyDescent="0.25">
      <c r="G20" t="s">
        <v>6</v>
      </c>
      <c r="H20">
        <v>60</v>
      </c>
    </row>
    <row r="21" spans="3:8" x14ac:dyDescent="0.25">
      <c r="C21" t="s">
        <v>1</v>
      </c>
      <c r="D21" t="s">
        <v>0</v>
      </c>
      <c r="E21" t="s">
        <v>3</v>
      </c>
    </row>
    <row r="22" spans="3:8" x14ac:dyDescent="0.25">
      <c r="C22">
        <v>1</v>
      </c>
      <c r="D22">
        <f>10-(C22-1)*1</f>
        <v>10</v>
      </c>
      <c r="E22" t="b">
        <f>D22&gt;=F22</f>
        <v>1</v>
      </c>
      <c r="F22">
        <f>$H$20*1/$H$19</f>
        <v>2</v>
      </c>
    </row>
    <row r="23" spans="3:8" x14ac:dyDescent="0.25">
      <c r="C23">
        <v>2</v>
      </c>
      <c r="D23">
        <f t="shared" ref="D23:D33" si="3">10-(C23-1)*1</f>
        <v>9</v>
      </c>
      <c r="E23" t="b">
        <f t="shared" ref="E23:E33" si="4">D23&gt;=F23</f>
        <v>1</v>
      </c>
      <c r="F23">
        <f t="shared" ref="F23:F33" si="5">$H$20*1/$H$19</f>
        <v>2</v>
      </c>
    </row>
    <row r="24" spans="3:8" x14ac:dyDescent="0.25">
      <c r="C24">
        <v>3</v>
      </c>
      <c r="D24">
        <f t="shared" si="3"/>
        <v>8</v>
      </c>
      <c r="E24" t="b">
        <f t="shared" si="4"/>
        <v>1</v>
      </c>
      <c r="F24">
        <f t="shared" si="5"/>
        <v>2</v>
      </c>
    </row>
    <row r="25" spans="3:8" x14ac:dyDescent="0.25">
      <c r="C25">
        <v>4</v>
      </c>
      <c r="D25">
        <f t="shared" si="3"/>
        <v>7</v>
      </c>
      <c r="E25" t="b">
        <f t="shared" si="4"/>
        <v>1</v>
      </c>
      <c r="F25">
        <f t="shared" si="5"/>
        <v>2</v>
      </c>
    </row>
    <row r="26" spans="3:8" x14ac:dyDescent="0.25">
      <c r="C26">
        <v>5</v>
      </c>
      <c r="D26">
        <f t="shared" si="3"/>
        <v>6</v>
      </c>
      <c r="E26" t="b">
        <f t="shared" si="4"/>
        <v>1</v>
      </c>
      <c r="F26">
        <f t="shared" si="5"/>
        <v>2</v>
      </c>
    </row>
    <row r="27" spans="3:8" x14ac:dyDescent="0.25">
      <c r="C27">
        <v>6</v>
      </c>
      <c r="D27">
        <f t="shared" si="3"/>
        <v>5</v>
      </c>
      <c r="E27" t="b">
        <f t="shared" si="4"/>
        <v>1</v>
      </c>
      <c r="F27">
        <f t="shared" si="5"/>
        <v>2</v>
      </c>
    </row>
    <row r="28" spans="3:8" x14ac:dyDescent="0.25">
      <c r="C28">
        <v>7</v>
      </c>
      <c r="D28">
        <f t="shared" si="3"/>
        <v>4</v>
      </c>
      <c r="E28" t="b">
        <f t="shared" si="4"/>
        <v>1</v>
      </c>
      <c r="F28">
        <f t="shared" si="5"/>
        <v>2</v>
      </c>
    </row>
    <row r="29" spans="3:8" x14ac:dyDescent="0.25">
      <c r="C29">
        <v>8</v>
      </c>
      <c r="D29">
        <f t="shared" si="3"/>
        <v>3</v>
      </c>
      <c r="E29" t="b">
        <f t="shared" si="4"/>
        <v>1</v>
      </c>
      <c r="F29">
        <f t="shared" si="5"/>
        <v>2</v>
      </c>
    </row>
    <row r="30" spans="3:8" x14ac:dyDescent="0.25">
      <c r="C30">
        <v>9</v>
      </c>
      <c r="D30">
        <f t="shared" si="3"/>
        <v>2</v>
      </c>
      <c r="E30" t="b">
        <f t="shared" si="4"/>
        <v>1</v>
      </c>
      <c r="F30">
        <f t="shared" si="5"/>
        <v>2</v>
      </c>
    </row>
    <row r="31" spans="3:8" x14ac:dyDescent="0.25">
      <c r="C31">
        <v>10</v>
      </c>
      <c r="D31">
        <f t="shared" si="3"/>
        <v>1</v>
      </c>
      <c r="E31" t="b">
        <f t="shared" si="4"/>
        <v>0</v>
      </c>
      <c r="F31">
        <f t="shared" si="5"/>
        <v>2</v>
      </c>
    </row>
    <row r="32" spans="3:8" x14ac:dyDescent="0.25">
      <c r="C32">
        <v>11</v>
      </c>
      <c r="D32">
        <f t="shared" si="3"/>
        <v>0</v>
      </c>
      <c r="E32" t="b">
        <f t="shared" si="4"/>
        <v>0</v>
      </c>
      <c r="F32">
        <f t="shared" si="5"/>
        <v>2</v>
      </c>
    </row>
    <row r="33" spans="3:8" x14ac:dyDescent="0.25">
      <c r="C33">
        <v>12</v>
      </c>
      <c r="D33">
        <f t="shared" si="3"/>
        <v>-1</v>
      </c>
      <c r="E33" t="b">
        <f t="shared" si="4"/>
        <v>0</v>
      </c>
      <c r="F33">
        <f t="shared" si="5"/>
        <v>2</v>
      </c>
    </row>
    <row r="38" spans="3:8" x14ac:dyDescent="0.25">
      <c r="G38" t="s">
        <v>5</v>
      </c>
      <c r="H38" s="1">
        <v>10</v>
      </c>
    </row>
    <row r="39" spans="3:8" x14ac:dyDescent="0.25">
      <c r="G39" t="s">
        <v>6</v>
      </c>
      <c r="H39" s="1">
        <v>0.1</v>
      </c>
    </row>
    <row r="40" spans="3:8" x14ac:dyDescent="0.25">
      <c r="C40" t="s">
        <v>7</v>
      </c>
      <c r="D40" t="s">
        <v>8</v>
      </c>
      <c r="E40" t="s">
        <v>9</v>
      </c>
      <c r="F40" t="s">
        <v>10</v>
      </c>
    </row>
    <row r="41" spans="3:8" x14ac:dyDescent="0.25">
      <c r="C41">
        <v>1</v>
      </c>
      <c r="D41">
        <v>8</v>
      </c>
      <c r="E41" t="b">
        <f>D41&gt;=F41</f>
        <v>1</v>
      </c>
      <c r="F41">
        <f>$H$39*1/$H$38</f>
        <v>0.01</v>
      </c>
    </row>
    <row r="42" spans="3:8" x14ac:dyDescent="0.25">
      <c r="C42">
        <v>2</v>
      </c>
      <c r="D42">
        <v>6</v>
      </c>
      <c r="E42" t="b">
        <f t="shared" ref="E42:E46" si="6">D42&gt;=F42</f>
        <v>1</v>
      </c>
      <c r="F42">
        <f t="shared" ref="F42:F46" si="7">$H$39*1/$H$38</f>
        <v>0.01</v>
      </c>
    </row>
    <row r="43" spans="3:8" x14ac:dyDescent="0.25">
      <c r="C43">
        <v>3</v>
      </c>
      <c r="D43">
        <v>4</v>
      </c>
      <c r="E43" t="b">
        <f t="shared" si="6"/>
        <v>1</v>
      </c>
      <c r="F43">
        <f t="shared" si="7"/>
        <v>0.01</v>
      </c>
    </row>
    <row r="44" spans="3:8" x14ac:dyDescent="0.25">
      <c r="C44">
        <v>4</v>
      </c>
      <c r="D44">
        <v>2</v>
      </c>
      <c r="E44" t="b">
        <f t="shared" si="6"/>
        <v>1</v>
      </c>
      <c r="F44">
        <f t="shared" si="7"/>
        <v>0.01</v>
      </c>
    </row>
    <row r="45" spans="3:8" x14ac:dyDescent="0.25">
      <c r="C45">
        <v>5</v>
      </c>
      <c r="D45">
        <v>0</v>
      </c>
      <c r="E45" t="b">
        <f t="shared" si="6"/>
        <v>0</v>
      </c>
      <c r="F45">
        <f t="shared" si="7"/>
        <v>0.01</v>
      </c>
    </row>
    <row r="46" spans="3:8" x14ac:dyDescent="0.25">
      <c r="C46">
        <v>6</v>
      </c>
      <c r="D46">
        <v>-2</v>
      </c>
      <c r="E46" t="b">
        <f t="shared" si="6"/>
        <v>0</v>
      </c>
      <c r="F46">
        <f t="shared" si="7"/>
        <v>0.01</v>
      </c>
    </row>
    <row r="51" spans="3:10" x14ac:dyDescent="0.25">
      <c r="H51" t="s">
        <v>6</v>
      </c>
      <c r="I51" s="1">
        <v>0.1</v>
      </c>
    </row>
    <row r="53" spans="3:10" x14ac:dyDescent="0.25">
      <c r="C53" t="s">
        <v>7</v>
      </c>
      <c r="D53" t="s">
        <v>8</v>
      </c>
      <c r="E53" t="s">
        <v>9</v>
      </c>
      <c r="F53" t="s">
        <v>10</v>
      </c>
      <c r="G53" t="s">
        <v>5</v>
      </c>
    </row>
    <row r="54" spans="3:10" x14ac:dyDescent="0.25">
      <c r="C54">
        <v>4</v>
      </c>
      <c r="D54">
        <v>2</v>
      </c>
      <c r="E54" t="b">
        <f>D54&gt;F54</f>
        <v>1</v>
      </c>
      <c r="F54">
        <f>$I$51*1/G54</f>
        <v>0.01</v>
      </c>
      <c r="G54" s="1">
        <v>10</v>
      </c>
    </row>
    <row r="55" spans="3:10" x14ac:dyDescent="0.25">
      <c r="C55">
        <v>4</v>
      </c>
      <c r="D55">
        <v>2</v>
      </c>
      <c r="E55" t="b">
        <f t="shared" ref="E55:E59" si="8">D55&gt;F55</f>
        <v>1</v>
      </c>
      <c r="F55">
        <f t="shared" ref="F55:F59" si="9">$I$51*1/G55</f>
        <v>1.2500000000000001E-2</v>
      </c>
      <c r="G55" s="1">
        <v>8</v>
      </c>
    </row>
    <row r="56" spans="3:10" x14ac:dyDescent="0.25">
      <c r="C56">
        <v>4</v>
      </c>
      <c r="D56">
        <v>2</v>
      </c>
      <c r="E56" t="b">
        <f t="shared" si="8"/>
        <v>1</v>
      </c>
      <c r="F56">
        <f t="shared" si="9"/>
        <v>1.6666666666666666E-2</v>
      </c>
      <c r="G56" s="1">
        <v>6</v>
      </c>
    </row>
    <row r="57" spans="3:10" x14ac:dyDescent="0.25">
      <c r="C57">
        <v>4</v>
      </c>
      <c r="D57">
        <v>2</v>
      </c>
      <c r="E57" t="b">
        <f t="shared" si="8"/>
        <v>1</v>
      </c>
      <c r="F57">
        <f t="shared" si="9"/>
        <v>2.5000000000000001E-2</v>
      </c>
      <c r="G57" s="1">
        <v>4</v>
      </c>
    </row>
    <row r="58" spans="3:10" x14ac:dyDescent="0.25">
      <c r="C58">
        <v>4</v>
      </c>
      <c r="D58">
        <v>2</v>
      </c>
      <c r="E58" t="b">
        <f t="shared" si="8"/>
        <v>1</v>
      </c>
      <c r="F58">
        <f t="shared" si="9"/>
        <v>0.05</v>
      </c>
      <c r="G58" s="1">
        <v>2</v>
      </c>
    </row>
    <row r="59" spans="3:10" x14ac:dyDescent="0.25">
      <c r="G59" s="1"/>
    </row>
    <row r="60" spans="3:10" x14ac:dyDescent="0.25">
      <c r="H60" t="s">
        <v>5</v>
      </c>
      <c r="I60" s="1">
        <v>10</v>
      </c>
    </row>
    <row r="62" spans="3:10" x14ac:dyDescent="0.25">
      <c r="C62" t="s">
        <v>7</v>
      </c>
      <c r="D62" t="s">
        <v>11</v>
      </c>
      <c r="E62" t="s">
        <v>9</v>
      </c>
      <c r="F62" t="s">
        <v>10</v>
      </c>
      <c r="G62" t="s">
        <v>6</v>
      </c>
    </row>
    <row r="63" spans="3:10" x14ac:dyDescent="0.25">
      <c r="C63">
        <v>4</v>
      </c>
      <c r="D63">
        <v>1</v>
      </c>
      <c r="E63" t="b">
        <f>D63&gt;=F63</f>
        <v>0</v>
      </c>
      <c r="F63" s="2">
        <f>G63*1/$I$60</f>
        <v>10</v>
      </c>
      <c r="G63" s="3">
        <v>100</v>
      </c>
      <c r="J63" s="1">
        <f>D63*I60</f>
        <v>10</v>
      </c>
    </row>
    <row r="64" spans="3:10" x14ac:dyDescent="0.25">
      <c r="C64">
        <v>4</v>
      </c>
      <c r="D64">
        <v>1</v>
      </c>
      <c r="E64" t="b">
        <f t="shared" ref="E64:E72" si="10">D64&gt;=F64</f>
        <v>0</v>
      </c>
      <c r="F64" s="2">
        <f t="shared" ref="F64:F72" si="11">G64*1/$I$60</f>
        <v>5</v>
      </c>
      <c r="G64" s="3">
        <v>50</v>
      </c>
    </row>
    <row r="65" spans="3:10" x14ac:dyDescent="0.25">
      <c r="C65">
        <v>4</v>
      </c>
      <c r="D65">
        <v>1</v>
      </c>
      <c r="E65" t="b">
        <f t="shared" si="10"/>
        <v>0</v>
      </c>
      <c r="F65" s="2">
        <f t="shared" si="11"/>
        <v>2.5</v>
      </c>
      <c r="G65" s="3">
        <v>25</v>
      </c>
    </row>
    <row r="66" spans="3:10" x14ac:dyDescent="0.25">
      <c r="C66">
        <v>4</v>
      </c>
      <c r="D66">
        <v>1</v>
      </c>
      <c r="E66" t="b">
        <f t="shared" si="10"/>
        <v>0</v>
      </c>
      <c r="F66" s="2">
        <f t="shared" si="11"/>
        <v>1.25</v>
      </c>
      <c r="G66" s="3">
        <v>12.5</v>
      </c>
    </row>
    <row r="67" spans="3:10" x14ac:dyDescent="0.25">
      <c r="C67">
        <v>4</v>
      </c>
      <c r="D67">
        <v>1</v>
      </c>
      <c r="E67" t="b">
        <f t="shared" si="10"/>
        <v>1</v>
      </c>
      <c r="F67" s="2">
        <f t="shared" si="11"/>
        <v>0.625</v>
      </c>
      <c r="G67" s="3">
        <v>6.25</v>
      </c>
    </row>
    <row r="68" spans="3:10" x14ac:dyDescent="0.25">
      <c r="C68">
        <v>4</v>
      </c>
      <c r="D68">
        <v>1</v>
      </c>
      <c r="E68" t="b">
        <f t="shared" si="10"/>
        <v>1</v>
      </c>
      <c r="F68" s="2">
        <f t="shared" si="11"/>
        <v>0.3125</v>
      </c>
      <c r="G68" s="3">
        <v>3.125</v>
      </c>
    </row>
    <row r="69" spans="3:10" x14ac:dyDescent="0.25">
      <c r="C69">
        <v>4</v>
      </c>
      <c r="D69">
        <v>1</v>
      </c>
      <c r="E69" t="b">
        <f t="shared" si="10"/>
        <v>1</v>
      </c>
      <c r="F69" s="2">
        <f t="shared" si="11"/>
        <v>1</v>
      </c>
      <c r="G69" s="1">
        <v>10</v>
      </c>
    </row>
    <row r="70" spans="3:10" x14ac:dyDescent="0.25">
      <c r="C70">
        <v>4</v>
      </c>
      <c r="D70">
        <v>2</v>
      </c>
      <c r="E70" t="b">
        <f t="shared" si="10"/>
        <v>1</v>
      </c>
      <c r="F70" s="2">
        <f t="shared" si="11"/>
        <v>2</v>
      </c>
      <c r="G70" s="1">
        <v>20</v>
      </c>
      <c r="J70" s="1">
        <f>D70*I60</f>
        <v>20</v>
      </c>
    </row>
    <row r="71" spans="3:10" x14ac:dyDescent="0.25">
      <c r="C71">
        <v>4</v>
      </c>
      <c r="D71">
        <v>1</v>
      </c>
      <c r="E71" t="b">
        <f t="shared" si="10"/>
        <v>1</v>
      </c>
      <c r="F71" s="2">
        <f t="shared" si="11"/>
        <v>0</v>
      </c>
      <c r="G71" s="1"/>
    </row>
    <row r="72" spans="3:10" x14ac:dyDescent="0.25">
      <c r="C72">
        <v>4</v>
      </c>
      <c r="D72">
        <v>1</v>
      </c>
      <c r="E72" t="b">
        <f t="shared" si="10"/>
        <v>1</v>
      </c>
      <c r="F72" s="2">
        <f t="shared" si="11"/>
        <v>0</v>
      </c>
      <c r="G7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Iaria</dc:creator>
  <cp:lastModifiedBy>Luca Iaria</cp:lastModifiedBy>
  <dcterms:created xsi:type="dcterms:W3CDTF">2025-08-16T13:43:46Z</dcterms:created>
  <dcterms:modified xsi:type="dcterms:W3CDTF">2025-08-16T16:48:14Z</dcterms:modified>
</cp:coreProperties>
</file>