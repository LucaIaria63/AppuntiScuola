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Scuola 2024-25\"/>
    </mc:Choice>
  </mc:AlternateContent>
  <xr:revisionPtr revIDLastSave="0" documentId="13_ncr:1_{2443138A-7F50-42C7-8B69-E885A13234F8}" xr6:coauthVersionLast="47" xr6:coauthVersionMax="47" xr10:uidLastSave="{00000000-0000-0000-0000-000000000000}"/>
  <bookViews>
    <workbookView xWindow="-120" yWindow="-120" windowWidth="29040" windowHeight="15720" xr2:uid="{A65BA9F7-858D-4128-A471-6EA37C1E9849}"/>
  </bookViews>
  <sheets>
    <sheet name="3ASE" sheetId="1" r:id="rId1"/>
    <sheet name="Tabella credit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1" l="1"/>
  <c r="C24" i="1"/>
  <c r="M22" i="1"/>
  <c r="K22" i="1"/>
  <c r="L22" i="1"/>
  <c r="K21" i="1"/>
  <c r="K19" i="1"/>
  <c r="D22" i="1"/>
  <c r="E22" i="1"/>
  <c r="F22" i="1"/>
  <c r="G22" i="1"/>
  <c r="I22" i="1"/>
  <c r="J22" i="1"/>
  <c r="N22" i="1"/>
  <c r="C22" i="1"/>
  <c r="D20" i="1"/>
  <c r="E20" i="1"/>
  <c r="F20" i="1"/>
  <c r="G20" i="1"/>
  <c r="H20" i="1"/>
  <c r="I20" i="1"/>
  <c r="J20" i="1"/>
  <c r="K20" i="1"/>
  <c r="L20" i="1"/>
  <c r="M20" i="1"/>
  <c r="N20" i="1"/>
  <c r="C20" i="1"/>
  <c r="M19" i="1"/>
  <c r="N19" i="1"/>
  <c r="L19" i="1"/>
  <c r="D19" i="1"/>
  <c r="E19" i="1"/>
  <c r="F19" i="1"/>
  <c r="G19" i="1"/>
  <c r="H19" i="1"/>
  <c r="I19" i="1"/>
  <c r="J19" i="1"/>
  <c r="C19" i="1"/>
  <c r="M21" i="1"/>
  <c r="D21" i="1"/>
  <c r="E21" i="1"/>
  <c r="F21" i="1"/>
  <c r="G21" i="1"/>
  <c r="H21" i="1"/>
  <c r="H22" i="1" s="1"/>
  <c r="C23" i="1" s="1"/>
  <c r="I21" i="1"/>
  <c r="J21" i="1"/>
  <c r="L21" i="1"/>
  <c r="N21" i="1"/>
  <c r="C21" i="1"/>
  <c r="C26" i="1" l="1"/>
</calcChain>
</file>

<file path=xl/sharedStrings.xml><?xml version="1.0" encoding="utf-8"?>
<sst xmlns="http://schemas.openxmlformats.org/spreadsheetml/2006/main" count="41" uniqueCount="33">
  <si>
    <t>Diritto</t>
  </si>
  <si>
    <t>Economia aziendale</t>
  </si>
  <si>
    <t>Economia politica</t>
  </si>
  <si>
    <t>Educazione civica</t>
  </si>
  <si>
    <t>Informatica</t>
  </si>
  <si>
    <t>Lingua inglese e letteratura</t>
  </si>
  <si>
    <t>Lingua inglese</t>
  </si>
  <si>
    <t>Matematica</t>
  </si>
  <si>
    <t>Religione</t>
  </si>
  <si>
    <t>Scienze motorie e sportive</t>
  </si>
  <si>
    <t>Spagnolo</t>
  </si>
  <si>
    <t>+</t>
  </si>
  <si>
    <t>sufficienza</t>
  </si>
  <si>
    <t>-</t>
  </si>
  <si>
    <t>distinto</t>
  </si>
  <si>
    <t>Storia</t>
  </si>
  <si>
    <t>7.5</t>
  </si>
  <si>
    <t>Quadrimestre</t>
  </si>
  <si>
    <t>discreto</t>
  </si>
  <si>
    <t>ottimo</t>
  </si>
  <si>
    <t>Somma</t>
  </si>
  <si>
    <t>Media</t>
  </si>
  <si>
    <t>Totale parziale</t>
  </si>
  <si>
    <t>Conteggio</t>
  </si>
  <si>
    <t>Media primo quadrimestre</t>
  </si>
  <si>
    <t>Media secondo quadrimestre</t>
  </si>
  <si>
    <t>Media di entrambi i quadrimestri</t>
  </si>
  <si>
    <t>Scrutinio</t>
  </si>
  <si>
    <t>Crediti</t>
  </si>
  <si>
    <t>Media voti</t>
  </si>
  <si>
    <t>+ Accumulati</t>
  </si>
  <si>
    <t>"- Accumulati</t>
  </si>
  <si>
    <t>Finale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</si>
</sst>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49" fontId="0" fillId="0" borderId="0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Fill="1" applyBorder="1"/>
    <xf numFmtId="0" fontId="0" fillId="0" borderId="3" xfId="0" applyFill="1" applyBorder="1"/>
    <xf numFmtId="0" fontId="0" fillId="0" borderId="8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11" xfId="0" applyBorder="1"/>
    <xf numFmtId="0" fontId="0" fillId="0" borderId="12" xfId="0" applyBorder="1"/>
    <xf numFmtId="0" fontId="0" fillId="0" borderId="2" xfId="0" applyFill="1" applyBorder="1"/>
    <xf numFmtId="0" fontId="0" fillId="0" borderId="7" xfId="0" applyFill="1" applyBorder="1"/>
  </cellXfs>
  <cellStyles count="1">
    <cellStyle name="Normale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B29A5-C2C8-48CD-BFFD-C975A59EB6FB}">
  <dimension ref="B3:N26"/>
  <sheetViews>
    <sheetView tabSelected="1" zoomScale="115" zoomScaleNormal="115" workbookViewId="0">
      <selection activeCell="G8" sqref="G8"/>
    </sheetView>
  </sheetViews>
  <sheetFormatPr defaultRowHeight="15" x14ac:dyDescent="0.25"/>
  <cols>
    <col min="2" max="2" width="30.85546875" bestFit="1" customWidth="1"/>
    <col min="3" max="3" width="9.7109375" bestFit="1" customWidth="1"/>
    <col min="4" max="4" width="18.85546875" bestFit="1" customWidth="1"/>
    <col min="5" max="5" width="16.7109375" bestFit="1" customWidth="1"/>
    <col min="6" max="6" width="16.42578125" bestFit="1" customWidth="1"/>
    <col min="7" max="7" width="11.140625" bestFit="1" customWidth="1"/>
    <col min="8" max="8" width="25.7109375" bestFit="1" customWidth="1"/>
    <col min="9" max="9" width="13.7109375" bestFit="1" customWidth="1"/>
    <col min="10" max="10" width="11.5703125" bestFit="1" customWidth="1"/>
    <col min="11" max="11" width="9.7109375" bestFit="1" customWidth="1"/>
    <col min="12" max="12" width="25" bestFit="1" customWidth="1"/>
    <col min="13" max="13" width="9.7109375" bestFit="1" customWidth="1"/>
    <col min="14" max="14" width="6.28515625" bestFit="1" customWidth="1"/>
  </cols>
  <sheetData>
    <row r="3" spans="2:14" ht="15.75" thickBot="1" x14ac:dyDescent="0.3"/>
    <row r="4" spans="2:14" ht="16.5" thickTop="1" thickBot="1" x14ac:dyDescent="0.3">
      <c r="B4" s="15" t="s">
        <v>17</v>
      </c>
      <c r="C4" s="17" t="s">
        <v>0</v>
      </c>
      <c r="D4" s="18" t="s">
        <v>1</v>
      </c>
      <c r="E4" s="18" t="s">
        <v>2</v>
      </c>
      <c r="F4" s="18" t="s">
        <v>3</v>
      </c>
      <c r="G4" s="18" t="s">
        <v>4</v>
      </c>
      <c r="H4" s="18" t="s">
        <v>5</v>
      </c>
      <c r="I4" s="18" t="s">
        <v>6</v>
      </c>
      <c r="J4" s="18" t="s">
        <v>7</v>
      </c>
      <c r="K4" s="18" t="s">
        <v>8</v>
      </c>
      <c r="L4" s="18" t="s">
        <v>9</v>
      </c>
      <c r="M4" s="18" t="s">
        <v>10</v>
      </c>
      <c r="N4" s="19" t="s">
        <v>15</v>
      </c>
    </row>
    <row r="5" spans="2:14" ht="16.5" thickTop="1" thickBot="1" x14ac:dyDescent="0.3">
      <c r="B5" s="16">
        <v>1</v>
      </c>
      <c r="C5" s="3">
        <v>7</v>
      </c>
      <c r="D5" s="3">
        <v>3</v>
      </c>
      <c r="E5" s="3">
        <v>7.25</v>
      </c>
      <c r="F5" s="3">
        <v>7.5</v>
      </c>
      <c r="G5" s="3">
        <v>9</v>
      </c>
      <c r="H5" s="3">
        <v>6.5</v>
      </c>
      <c r="I5" s="3">
        <v>4.5</v>
      </c>
      <c r="J5" s="3">
        <v>8</v>
      </c>
      <c r="K5" s="3" t="s">
        <v>14</v>
      </c>
      <c r="L5" s="3">
        <v>7.75</v>
      </c>
      <c r="M5" s="3" t="s">
        <v>11</v>
      </c>
      <c r="N5" s="4">
        <v>7</v>
      </c>
    </row>
    <row r="6" spans="2:14" ht="16.5" thickTop="1" thickBot="1" x14ac:dyDescent="0.3">
      <c r="B6" s="16"/>
      <c r="C6" s="6">
        <v>7</v>
      </c>
      <c r="D6" s="6">
        <v>6</v>
      </c>
      <c r="E6" s="6" t="s">
        <v>11</v>
      </c>
      <c r="F6" s="6">
        <v>8</v>
      </c>
      <c r="G6" s="6">
        <v>8.5</v>
      </c>
      <c r="H6" s="6">
        <v>6</v>
      </c>
      <c r="I6" s="6">
        <v>3.75</v>
      </c>
      <c r="J6" s="6">
        <v>8</v>
      </c>
      <c r="K6" s="6"/>
      <c r="L6" s="6">
        <v>8</v>
      </c>
      <c r="M6" s="6">
        <v>5.75</v>
      </c>
      <c r="N6" s="7">
        <v>8</v>
      </c>
    </row>
    <row r="7" spans="2:14" ht="16.5" thickTop="1" thickBot="1" x14ac:dyDescent="0.3">
      <c r="B7" s="16"/>
      <c r="C7" s="6"/>
      <c r="D7" s="6">
        <v>6</v>
      </c>
      <c r="E7" s="6">
        <v>7.5</v>
      </c>
      <c r="F7" s="6">
        <v>6.5</v>
      </c>
      <c r="G7" s="6">
        <v>10</v>
      </c>
      <c r="H7" s="6">
        <v>7.75</v>
      </c>
      <c r="I7" s="6">
        <v>6.25</v>
      </c>
      <c r="J7" s="6">
        <v>9</v>
      </c>
      <c r="K7" s="6"/>
      <c r="L7" s="6">
        <v>9</v>
      </c>
      <c r="M7" s="6">
        <v>6.5</v>
      </c>
      <c r="N7" s="7">
        <v>5</v>
      </c>
    </row>
    <row r="8" spans="2:14" ht="16.5" thickTop="1" thickBot="1" x14ac:dyDescent="0.3">
      <c r="B8" s="16"/>
      <c r="C8" s="6"/>
      <c r="D8" s="6">
        <v>10</v>
      </c>
      <c r="E8" s="6">
        <v>8</v>
      </c>
      <c r="F8" s="6">
        <v>8.5</v>
      </c>
      <c r="G8" s="12"/>
      <c r="H8" s="6">
        <v>6.5</v>
      </c>
      <c r="I8" s="6">
        <v>5.75</v>
      </c>
      <c r="J8" s="6">
        <v>9.5</v>
      </c>
      <c r="K8" s="6"/>
      <c r="L8" s="6"/>
      <c r="M8" s="6" t="s">
        <v>11</v>
      </c>
      <c r="N8" s="7" t="s">
        <v>13</v>
      </c>
    </row>
    <row r="9" spans="2:14" ht="16.5" thickTop="1" thickBot="1" x14ac:dyDescent="0.3">
      <c r="B9" s="16"/>
      <c r="C9" s="6"/>
      <c r="D9" s="6"/>
      <c r="E9" s="6"/>
      <c r="F9" s="6" t="s">
        <v>12</v>
      </c>
      <c r="G9" s="12"/>
      <c r="H9" s="6" t="s">
        <v>13</v>
      </c>
      <c r="I9" s="8">
        <v>5.5</v>
      </c>
      <c r="J9" s="6">
        <v>8.75</v>
      </c>
      <c r="K9" s="6"/>
      <c r="L9" s="6"/>
      <c r="M9" s="6">
        <v>6.5</v>
      </c>
      <c r="N9" s="7">
        <v>6</v>
      </c>
    </row>
    <row r="10" spans="2:14" ht="16.5" thickTop="1" thickBot="1" x14ac:dyDescent="0.3">
      <c r="B10" s="16"/>
      <c r="C10" s="6"/>
      <c r="D10" s="6"/>
      <c r="E10" s="6"/>
      <c r="F10" s="6"/>
      <c r="G10" s="12"/>
      <c r="H10" s="6"/>
      <c r="I10" s="6"/>
      <c r="J10" s="6">
        <v>5.75</v>
      </c>
      <c r="K10" s="6"/>
      <c r="L10" s="6"/>
      <c r="M10" s="6">
        <v>6.25</v>
      </c>
      <c r="N10" s="7" t="s">
        <v>16</v>
      </c>
    </row>
    <row r="11" spans="2:14" ht="16.5" thickTop="1" thickBot="1" x14ac:dyDescent="0.3">
      <c r="B11" s="16"/>
      <c r="C11" s="6"/>
      <c r="D11" s="6"/>
      <c r="E11" s="6"/>
      <c r="F11" s="6"/>
      <c r="G11" s="12"/>
      <c r="H11" s="6"/>
      <c r="I11" s="6"/>
      <c r="J11" s="6"/>
      <c r="K11" s="6"/>
      <c r="L11" s="6"/>
      <c r="M11" s="6" t="s">
        <v>11</v>
      </c>
      <c r="N11" s="7"/>
    </row>
    <row r="12" spans="2:14" ht="16.5" thickTop="1" thickBot="1" x14ac:dyDescent="0.3">
      <c r="B12" s="16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11</v>
      </c>
      <c r="N12" s="11"/>
    </row>
    <row r="13" spans="2:14" ht="16.5" thickTop="1" thickBot="1" x14ac:dyDescent="0.3">
      <c r="B13" s="16">
        <v>2</v>
      </c>
      <c r="C13" s="3">
        <v>8</v>
      </c>
      <c r="D13" s="3">
        <v>6</v>
      </c>
      <c r="E13" s="3">
        <v>7.5</v>
      </c>
      <c r="F13" s="3">
        <v>7</v>
      </c>
      <c r="G13" s="3">
        <v>9</v>
      </c>
      <c r="H13" s="3">
        <v>8</v>
      </c>
      <c r="I13" s="3">
        <v>6.75</v>
      </c>
      <c r="J13" s="13">
        <v>6.25</v>
      </c>
      <c r="K13" s="3" t="s">
        <v>19</v>
      </c>
      <c r="L13" s="3">
        <v>8</v>
      </c>
      <c r="M13" s="3"/>
      <c r="N13" s="4">
        <v>6.25</v>
      </c>
    </row>
    <row r="14" spans="2:14" ht="16.5" thickTop="1" thickBot="1" x14ac:dyDescent="0.3">
      <c r="B14" s="16"/>
      <c r="C14" s="6">
        <v>9</v>
      </c>
      <c r="D14" s="6">
        <v>5.5</v>
      </c>
      <c r="E14" s="6" t="s">
        <v>11</v>
      </c>
      <c r="F14" s="6">
        <v>9</v>
      </c>
      <c r="G14" s="6">
        <v>9</v>
      </c>
      <c r="H14" s="6">
        <v>7.5</v>
      </c>
      <c r="I14" s="6">
        <v>7.75</v>
      </c>
      <c r="J14" s="12">
        <v>8.75</v>
      </c>
      <c r="K14" s="6"/>
      <c r="L14" s="6">
        <v>8</v>
      </c>
      <c r="M14" s="6"/>
      <c r="N14" s="7">
        <v>6</v>
      </c>
    </row>
    <row r="15" spans="2:14" ht="16.5" thickTop="1" thickBot="1" x14ac:dyDescent="0.3">
      <c r="B15" s="16"/>
      <c r="C15" s="6">
        <v>8</v>
      </c>
      <c r="D15" s="6">
        <v>8</v>
      </c>
      <c r="E15" s="6">
        <v>8</v>
      </c>
      <c r="F15" s="6">
        <v>9</v>
      </c>
      <c r="G15" s="6">
        <v>10</v>
      </c>
      <c r="H15" s="6">
        <v>8.75</v>
      </c>
      <c r="I15" s="6">
        <v>5.5</v>
      </c>
      <c r="J15" s="12">
        <v>7.75</v>
      </c>
      <c r="K15" s="6"/>
      <c r="L15" s="6">
        <v>7.5</v>
      </c>
      <c r="M15" s="6"/>
      <c r="N15" s="7" t="s">
        <v>11</v>
      </c>
    </row>
    <row r="16" spans="2:14" ht="16.5" thickTop="1" thickBot="1" x14ac:dyDescent="0.3">
      <c r="B16" s="16"/>
      <c r="C16" s="6"/>
      <c r="D16" s="6">
        <v>8.5</v>
      </c>
      <c r="E16" s="6"/>
      <c r="F16" s="6">
        <v>6.5</v>
      </c>
      <c r="G16" s="6">
        <v>9</v>
      </c>
      <c r="H16" s="6">
        <v>9</v>
      </c>
      <c r="I16" s="6">
        <v>7.25</v>
      </c>
      <c r="J16" s="12">
        <v>8</v>
      </c>
      <c r="K16" s="6"/>
      <c r="L16" s="6"/>
      <c r="M16" s="6"/>
      <c r="N16" s="7">
        <v>7</v>
      </c>
    </row>
    <row r="17" spans="2:14" ht="16.5" thickTop="1" thickBot="1" x14ac:dyDescent="0.3">
      <c r="B17" s="16"/>
      <c r="C17" s="6"/>
      <c r="D17" s="6"/>
      <c r="E17" s="6"/>
      <c r="F17" s="6">
        <v>9</v>
      </c>
      <c r="G17" s="6">
        <v>8.5</v>
      </c>
      <c r="H17" s="6"/>
      <c r="I17" s="6">
        <v>6.75</v>
      </c>
      <c r="J17" s="12">
        <v>5.75</v>
      </c>
      <c r="K17" s="6"/>
      <c r="L17" s="6"/>
      <c r="M17" s="6"/>
      <c r="N17" s="7"/>
    </row>
    <row r="18" spans="2:14" ht="16.5" thickTop="1" thickBot="1" x14ac:dyDescent="0.3">
      <c r="B18" s="16"/>
      <c r="C18" s="10"/>
      <c r="D18" s="10"/>
      <c r="E18" s="10"/>
      <c r="F18" s="10" t="s">
        <v>18</v>
      </c>
      <c r="G18" s="10">
        <v>10</v>
      </c>
      <c r="H18" s="10"/>
      <c r="I18" s="10" t="s">
        <v>18</v>
      </c>
      <c r="J18" s="14">
        <v>7.5</v>
      </c>
      <c r="K18" s="10"/>
      <c r="L18" s="10"/>
      <c r="M18" s="10"/>
      <c r="N18" s="11"/>
    </row>
    <row r="19" spans="2:14" ht="15.75" thickTop="1" x14ac:dyDescent="0.25">
      <c r="B19" s="2" t="s">
        <v>24</v>
      </c>
      <c r="C19" s="20">
        <f>ROUND(AVERAGE(C5:C12),1)</f>
        <v>7</v>
      </c>
      <c r="D19" s="20">
        <f t="shared" ref="D19:J19" si="0">ROUND(AVERAGE(D5:D12),1)</f>
        <v>6.3</v>
      </c>
      <c r="E19" s="20">
        <f t="shared" si="0"/>
        <v>7.6</v>
      </c>
      <c r="F19" s="20">
        <f t="shared" si="0"/>
        <v>7.6</v>
      </c>
      <c r="G19" s="20">
        <f t="shared" si="0"/>
        <v>9.1999999999999993</v>
      </c>
      <c r="H19" s="20">
        <f t="shared" si="0"/>
        <v>6.7</v>
      </c>
      <c r="I19" s="20">
        <f t="shared" si="0"/>
        <v>5.2</v>
      </c>
      <c r="J19" s="20">
        <f t="shared" si="0"/>
        <v>8.1999999999999993</v>
      </c>
      <c r="K19" s="20" t="str">
        <f>IFERROR(ROUND(AVERAGE(K5:K12),2),K5)</f>
        <v>distinto</v>
      </c>
      <c r="L19" s="20">
        <f>ROUND(AVERAGE(L5:L12),1)</f>
        <v>8.3000000000000007</v>
      </c>
      <c r="M19" s="20">
        <f t="shared" ref="M19:N19" si="1">ROUND(AVERAGE(M5:M12),1)</f>
        <v>6.3</v>
      </c>
      <c r="N19" s="21">
        <f t="shared" si="1"/>
        <v>6.5</v>
      </c>
    </row>
    <row r="20" spans="2:14" x14ac:dyDescent="0.25">
      <c r="B20" s="5" t="s">
        <v>26</v>
      </c>
      <c r="C20" s="22">
        <f>IFERROR(ROUND(AVERAGE(C5:C18),1),"Nessuno")</f>
        <v>7.8</v>
      </c>
      <c r="D20" s="22">
        <f t="shared" ref="D20:N20" si="2">IFERROR(ROUND(AVERAGE(D5:D18),1),"Nessuno")</f>
        <v>6.6</v>
      </c>
      <c r="E20" s="22">
        <f t="shared" si="2"/>
        <v>7.7</v>
      </c>
      <c r="F20" s="22">
        <f t="shared" si="2"/>
        <v>7.9</v>
      </c>
      <c r="G20" s="22">
        <f t="shared" si="2"/>
        <v>9.1999999999999993</v>
      </c>
      <c r="H20" s="22">
        <f t="shared" si="2"/>
        <v>7.5</v>
      </c>
      <c r="I20" s="22">
        <f t="shared" si="2"/>
        <v>6</v>
      </c>
      <c r="J20" s="22">
        <f t="shared" si="2"/>
        <v>7.8</v>
      </c>
      <c r="K20" s="22" t="str">
        <f t="shared" si="2"/>
        <v>Nessuno</v>
      </c>
      <c r="L20" s="22">
        <f t="shared" si="2"/>
        <v>8</v>
      </c>
      <c r="M20" s="22">
        <f t="shared" si="2"/>
        <v>6.3</v>
      </c>
      <c r="N20" s="23">
        <f t="shared" si="2"/>
        <v>6.5</v>
      </c>
    </row>
    <row r="21" spans="2:14" ht="15.75" thickBot="1" x14ac:dyDescent="0.3">
      <c r="B21" s="9" t="s">
        <v>25</v>
      </c>
      <c r="C21" s="24">
        <f>ROUND(AVERAGE(C13:C18),1)</f>
        <v>8.3000000000000007</v>
      </c>
      <c r="D21" s="24">
        <f t="shared" ref="D21:N21" si="3">ROUND(AVERAGE(D13:D18),1)</f>
        <v>7</v>
      </c>
      <c r="E21" s="24">
        <f t="shared" si="3"/>
        <v>7.8</v>
      </c>
      <c r="F21" s="24">
        <f t="shared" si="3"/>
        <v>8.1</v>
      </c>
      <c r="G21" s="24">
        <f t="shared" si="3"/>
        <v>9.3000000000000007</v>
      </c>
      <c r="H21" s="24">
        <f t="shared" si="3"/>
        <v>8.3000000000000007</v>
      </c>
      <c r="I21" s="24">
        <f t="shared" si="3"/>
        <v>6.8</v>
      </c>
      <c r="J21" s="24">
        <f t="shared" si="3"/>
        <v>7.3</v>
      </c>
      <c r="K21" s="24" t="str">
        <f>IFERROR(ROUND(AVERAGE(K13:K18),1),K13)</f>
        <v>ottimo</v>
      </c>
      <c r="L21" s="24">
        <f t="shared" si="3"/>
        <v>7.8</v>
      </c>
      <c r="M21" s="24" t="str">
        <f>IFERROR(ROUND(AVERAGE(M13:M18),1),"Nessuno")</f>
        <v>Nessuno</v>
      </c>
      <c r="N21" s="25">
        <f t="shared" si="3"/>
        <v>6.4</v>
      </c>
    </row>
    <row r="22" spans="2:14" ht="16.5" thickTop="1" thickBot="1" x14ac:dyDescent="0.3">
      <c r="B22" s="28" t="s">
        <v>27</v>
      </c>
      <c r="C22" s="3">
        <f>ROUND(C21,0)</f>
        <v>8</v>
      </c>
      <c r="D22" s="26">
        <f t="shared" ref="D22:N22" si="4">ROUND(D21,0)</f>
        <v>7</v>
      </c>
      <c r="E22" s="26">
        <f t="shared" si="4"/>
        <v>8</v>
      </c>
      <c r="F22" s="26">
        <f t="shared" si="4"/>
        <v>8</v>
      </c>
      <c r="G22" s="26">
        <f t="shared" si="4"/>
        <v>9</v>
      </c>
      <c r="H22" s="26">
        <f t="shared" si="4"/>
        <v>8</v>
      </c>
      <c r="I22" s="26">
        <f t="shared" si="4"/>
        <v>7</v>
      </c>
      <c r="J22" s="26">
        <f t="shared" si="4"/>
        <v>7</v>
      </c>
      <c r="K22" s="26" t="str">
        <f>K21</f>
        <v>ottimo</v>
      </c>
      <c r="L22" s="26">
        <f t="shared" ref="L22" si="5">ROUND(L21,0)</f>
        <v>8</v>
      </c>
      <c r="M22" s="26">
        <f>ROUND(M19,0)</f>
        <v>6</v>
      </c>
      <c r="N22" s="27">
        <f t="shared" si="4"/>
        <v>6</v>
      </c>
    </row>
    <row r="23" spans="2:14" ht="16.5" thickTop="1" thickBot="1" x14ac:dyDescent="0.3">
      <c r="B23" s="29" t="s">
        <v>28</v>
      </c>
      <c r="C23" s="11">
        <f>VLOOKUP(ROUND(AVERAGE(C22:N22),0),'Tabella crediti'!B3:C8,2,TRUE)</f>
        <v>9</v>
      </c>
    </row>
    <row r="24" spans="2:14" ht="15.75" thickTop="1" x14ac:dyDescent="0.25">
      <c r="B24" s="1" t="s">
        <v>30</v>
      </c>
      <c r="C24">
        <f>COUNTIF(C5:N18,"+")</f>
        <v>7</v>
      </c>
    </row>
    <row r="25" spans="2:14" x14ac:dyDescent="0.25">
      <c r="B25" t="s">
        <v>31</v>
      </c>
      <c r="C25">
        <f>COUNTIF(C5:N18,"-")</f>
        <v>2</v>
      </c>
    </row>
    <row r="26" spans="2:14" x14ac:dyDescent="0.25">
      <c r="B26" t="s">
        <v>32</v>
      </c>
      <c r="C26">
        <f>C24-C25</f>
        <v>5</v>
      </c>
    </row>
  </sheetData>
  <mergeCells count="2">
    <mergeCell ref="B5:B12"/>
    <mergeCell ref="B13:B18"/>
  </mergeCells>
  <conditionalFormatting sqref="C5:N18">
    <cfRule type="cellIs" dxfId="10" priority="6" operator="between">
      <formula>6</formula>
      <formula>10</formula>
    </cfRule>
    <cfRule type="cellIs" dxfId="9" priority="5" operator="between">
      <formula>1</formula>
      <formula>5.75</formula>
    </cfRule>
  </conditionalFormatting>
  <conditionalFormatting sqref="C19:N21">
    <cfRule type="cellIs" dxfId="8" priority="4" operator="between">
      <formula>6</formula>
      <formula>10</formula>
    </cfRule>
    <cfRule type="cellIs" dxfId="7" priority="3" operator="between">
      <formula>1</formula>
      <formula>5.9</formula>
    </cfRule>
  </conditionalFormatting>
  <conditionalFormatting sqref="C22:N22">
    <cfRule type="cellIs" dxfId="0" priority="2" operator="between">
      <formula>6</formula>
      <formula>10</formula>
    </cfRule>
    <cfRule type="cellIs" dxfId="1" priority="1" operator="between">
      <formula>1</formula>
      <formula>5</formula>
    </cfRule>
  </conditionalFormatting>
  <pageMargins left="0.7" right="0.7" top="0.75" bottom="0.75" header="0.3" footer="0.3"/>
  <ignoredErrors>
    <ignoredError sqref="C19:D19 G19 I19:J19 L19" formulaRange="1"/>
    <ignoredError sqref="L21:M21 K21:K22 K1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E525-42F4-43E5-A247-99ADFFEFAA5F}">
  <dimension ref="B3:E8"/>
  <sheetViews>
    <sheetView workbookViewId="0">
      <selection activeCell="C3" sqref="C3"/>
    </sheetView>
  </sheetViews>
  <sheetFormatPr defaultRowHeight="15" x14ac:dyDescent="0.25"/>
  <cols>
    <col min="2" max="2" width="10.42578125" bestFit="1" customWidth="1"/>
    <col min="3" max="3" width="7.85546875" bestFit="1" customWidth="1"/>
    <col min="4" max="4" width="8" bestFit="1" customWidth="1"/>
    <col min="5" max="5" width="7.42578125" bestFit="1" customWidth="1"/>
  </cols>
  <sheetData>
    <row r="3" spans="2:5" x14ac:dyDescent="0.25">
      <c r="B3" t="s">
        <v>29</v>
      </c>
      <c r="C3">
        <v>3</v>
      </c>
      <c r="D3">
        <v>4</v>
      </c>
      <c r="E3">
        <v>5</v>
      </c>
    </row>
    <row r="4" spans="2:5" x14ac:dyDescent="0.25">
      <c r="B4">
        <v>6</v>
      </c>
      <c r="C4">
        <v>8</v>
      </c>
      <c r="D4">
        <v>9</v>
      </c>
      <c r="E4">
        <v>10</v>
      </c>
    </row>
    <row r="5" spans="2:5" x14ac:dyDescent="0.25">
      <c r="B5">
        <v>7</v>
      </c>
      <c r="C5">
        <v>9</v>
      </c>
      <c r="D5">
        <v>10</v>
      </c>
      <c r="E5">
        <v>11</v>
      </c>
    </row>
    <row r="6" spans="2:5" x14ac:dyDescent="0.25">
      <c r="B6">
        <v>8</v>
      </c>
      <c r="C6">
        <v>10</v>
      </c>
      <c r="D6">
        <v>11</v>
      </c>
      <c r="E6">
        <v>12</v>
      </c>
    </row>
    <row r="7" spans="2:5" x14ac:dyDescent="0.25">
      <c r="B7">
        <v>9</v>
      </c>
      <c r="C7">
        <v>11</v>
      </c>
      <c r="D7">
        <v>12</v>
      </c>
      <c r="E7">
        <v>14</v>
      </c>
    </row>
    <row r="8" spans="2:5" x14ac:dyDescent="0.25">
      <c r="B8">
        <v>10</v>
      </c>
      <c r="C8">
        <v>12</v>
      </c>
      <c r="D8">
        <v>13</v>
      </c>
      <c r="E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3ASE</vt:lpstr>
      <vt:lpstr>Tabella crediti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Iaria</dc:creator>
  <cp:lastModifiedBy>Luca Iaria</cp:lastModifiedBy>
  <dcterms:created xsi:type="dcterms:W3CDTF">2025-06-07T19:40:22Z</dcterms:created>
  <dcterms:modified xsi:type="dcterms:W3CDTF">2025-06-07T22:46:31Z</dcterms:modified>
</cp:coreProperties>
</file>